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\\cptnasus\sd.capitalanalytics.com$\FAST\Projects\Investran\Demo and Proposal Files\Crossroads Funds Demo Files\"/>
    </mc:Choice>
  </mc:AlternateContent>
  <bookViews>
    <workbookView xWindow="0" yWindow="120" windowWidth="15195" windowHeight="8190" tabRatio="753"/>
  </bookViews>
  <sheets>
    <sheet name="Carry Terms" sheetId="1" r:id="rId1"/>
    <sheet name="AT Input Parameters" sheetId="8" state="hidden" r:id="rId2"/>
    <sheet name="Waterfall Model" sheetId="10" r:id="rId3"/>
    <sheet name="invTheoretical NAV" sheetId="9" r:id="rId4"/>
    <sheet name="invPref" sheetId="11" r:id="rId5"/>
  </sheets>
  <definedNames>
    <definedName name="caaprd_DRIVERS__Theoretical_NAV" localSheetId="3" hidden="1">'invTheoretical NAV'!$A$1:$S$30</definedName>
    <definedName name="caaprd_DRIVERS__Theoretical_WF____Contributions_by_Date" localSheetId="4" hidden="1">invPref!$A$5:$I$384</definedName>
    <definedName name="Connect_to_New_Data_Source" localSheetId="0">'Carry Terms'!#REF!</definedName>
    <definedName name="GP_Carry_Percent">'Carry Terms'!$C$6</definedName>
    <definedName name="GP_Catch_Up_Percent">'Carry Terms'!$C$4</definedName>
    <definedName name="GP_Catch_Up_Split">'Carry Terms'!$C$5</definedName>
    <definedName name="Period_End_Date">'Carry Terms'!$C$7</definedName>
    <definedName name="Preferred_Return_Rate">'Carry Terms'!$C$3</definedName>
  </definedNames>
  <calcPr calcId="152511"/>
</workbook>
</file>

<file path=xl/calcChain.xml><?xml version="1.0" encoding="utf-8"?>
<calcChain xmlns="http://schemas.openxmlformats.org/spreadsheetml/2006/main">
  <c r="F36" i="10" l="1" a="1"/>
  <c r="F36" i="10" s="1"/>
  <c r="F35" i="10" a="1"/>
  <c r="F35" i="10" s="1"/>
  <c r="F34" i="10" a="1"/>
  <c r="F34" i="10" s="1"/>
  <c r="F33" i="10" a="1"/>
  <c r="F33" i="10" s="1"/>
  <c r="F32" i="10" a="1"/>
  <c r="F32" i="10" s="1"/>
  <c r="F31" i="10" a="1"/>
  <c r="F31" i="10" s="1"/>
  <c r="F30" i="10" a="1"/>
  <c r="F30" i="10" s="1"/>
  <c r="F29" i="10" a="1"/>
  <c r="F29" i="10" s="1"/>
  <c r="F28" i="10" a="1"/>
  <c r="F28" i="10" s="1"/>
  <c r="F27" i="10" a="1"/>
  <c r="F27" i="10" s="1"/>
  <c r="F26" i="10" a="1"/>
  <c r="F26" i="10" s="1"/>
  <c r="F25" i="10" a="1"/>
  <c r="F25" i="10" s="1"/>
  <c r="F24" i="10" a="1"/>
  <c r="F24" i="10" s="1"/>
  <c r="F23" i="10" a="1"/>
  <c r="F23" i="10" s="1"/>
  <c r="F22" i="10" a="1"/>
  <c r="F22" i="10" s="1"/>
  <c r="F21" i="10" a="1"/>
  <c r="F21" i="10" s="1"/>
  <c r="F20" i="10" a="1"/>
  <c r="F20" i="10" s="1"/>
  <c r="F19" i="10" a="1"/>
  <c r="F19" i="10" s="1"/>
  <c r="F18" i="10" a="1"/>
  <c r="F18" i="10" s="1"/>
  <c r="F17" i="10" a="1"/>
  <c r="F17" i="10" s="1"/>
  <c r="F16" i="10" a="1"/>
  <c r="F16" i="10" s="1"/>
  <c r="F15" i="10" a="1"/>
  <c r="F15" i="10" s="1"/>
  <c r="F14" i="10" a="1"/>
  <c r="F14" i="10" s="1"/>
  <c r="F13" i="10" a="1"/>
  <c r="F13" i="10" s="1"/>
  <c r="F12" i="10" a="1"/>
  <c r="F12" i="10" s="1"/>
  <c r="F11" i="10" a="1"/>
  <c r="F11" i="10" s="1"/>
  <c r="F10" i="10" a="1"/>
  <c r="F10" i="10" s="1"/>
  <c r="F9" i="10" a="1"/>
  <c r="F9" i="10" s="1"/>
  <c r="F7" i="10"/>
  <c r="T3" i="9"/>
  <c r="T4" i="9"/>
  <c r="T5" i="9"/>
  <c r="T6" i="9"/>
  <c r="T7" i="9"/>
  <c r="T8" i="9"/>
  <c r="T9" i="9"/>
  <c r="T10" i="9"/>
  <c r="T11" i="9"/>
  <c r="T12" i="9"/>
  <c r="T13" i="9"/>
  <c r="T14" i="9"/>
  <c r="T15" i="9"/>
  <c r="T16" i="9"/>
  <c r="T17" i="9"/>
  <c r="T18" i="9"/>
  <c r="T19" i="9"/>
  <c r="T20" i="9"/>
  <c r="T21" i="9"/>
  <c r="T22" i="9"/>
  <c r="T23" i="9"/>
  <c r="T24" i="9"/>
  <c r="T25" i="9"/>
  <c r="T26" i="9"/>
  <c r="T27" i="9"/>
  <c r="T28" i="9"/>
  <c r="T29" i="9"/>
  <c r="T30" i="9"/>
  <c r="T2" i="9"/>
  <c r="R3" i="9"/>
  <c r="R4" i="9"/>
  <c r="R5" i="9"/>
  <c r="R6" i="9"/>
  <c r="R7" i="9"/>
  <c r="R8" i="9"/>
  <c r="R9" i="9"/>
  <c r="R10" i="9"/>
  <c r="R11" i="9"/>
  <c r="R12" i="9"/>
  <c r="R13" i="9"/>
  <c r="R14" i="9"/>
  <c r="R15" i="9"/>
  <c r="R16" i="9"/>
  <c r="R17" i="9"/>
  <c r="R18" i="9"/>
  <c r="R19" i="9"/>
  <c r="R20" i="9"/>
  <c r="R21" i="9"/>
  <c r="R22" i="9"/>
  <c r="R23" i="9"/>
  <c r="R24" i="9"/>
  <c r="R25" i="9"/>
  <c r="R26" i="9"/>
  <c r="R27" i="9"/>
  <c r="R28" i="9"/>
  <c r="R29" i="9"/>
  <c r="R30" i="9"/>
  <c r="R2" i="9"/>
  <c r="I4" i="11" l="1"/>
  <c r="P31" i="9"/>
  <c r="S31" i="9"/>
  <c r="Q31" i="9"/>
  <c r="H31" i="9"/>
  <c r="I31" i="9"/>
  <c r="J31" i="9"/>
  <c r="K31" i="9"/>
  <c r="L31" i="9"/>
  <c r="M31" i="9"/>
  <c r="N31" i="9"/>
  <c r="O31" i="9"/>
  <c r="T31" i="9" l="1"/>
  <c r="J343" i="11"/>
  <c r="K343" i="11" s="1"/>
  <c r="J344" i="11"/>
  <c r="K344" i="11" s="1"/>
  <c r="J345" i="11"/>
  <c r="K345" i="11" s="1"/>
  <c r="J346" i="11"/>
  <c r="K346" i="11" s="1"/>
  <c r="J347" i="11"/>
  <c r="K347" i="11" s="1"/>
  <c r="J348" i="11"/>
  <c r="K348" i="11" s="1"/>
  <c r="J349" i="11"/>
  <c r="K349" i="11" s="1"/>
  <c r="J350" i="11"/>
  <c r="K350" i="11" s="1"/>
  <c r="J351" i="11"/>
  <c r="K351" i="11" s="1"/>
  <c r="J352" i="11"/>
  <c r="K352" i="11" s="1"/>
  <c r="J353" i="11"/>
  <c r="K353" i="11" s="1"/>
  <c r="J354" i="11"/>
  <c r="K354" i="11" s="1"/>
  <c r="J355" i="11"/>
  <c r="K355" i="11" s="1"/>
  <c r="J356" i="11"/>
  <c r="K356" i="11" s="1"/>
  <c r="J357" i="11"/>
  <c r="K357" i="11" s="1"/>
  <c r="J358" i="11"/>
  <c r="K358" i="11" s="1"/>
  <c r="J359" i="11"/>
  <c r="K359" i="11" s="1"/>
  <c r="J360" i="11"/>
  <c r="K360" i="11" s="1"/>
  <c r="J361" i="11"/>
  <c r="K361" i="11" s="1"/>
  <c r="J362" i="11"/>
  <c r="K362" i="11" s="1"/>
  <c r="J363" i="11"/>
  <c r="K363" i="11" s="1"/>
  <c r="J364" i="11"/>
  <c r="K364" i="11" s="1"/>
  <c r="J365" i="11"/>
  <c r="K365" i="11" s="1"/>
  <c r="J366" i="11"/>
  <c r="K366" i="11" s="1"/>
  <c r="J367" i="11"/>
  <c r="K367" i="11" s="1"/>
  <c r="J368" i="11"/>
  <c r="K368" i="11" s="1"/>
  <c r="J369" i="11"/>
  <c r="K369" i="11" s="1"/>
  <c r="J370" i="11"/>
  <c r="K370" i="11" s="1"/>
  <c r="J371" i="11"/>
  <c r="K371" i="11" s="1"/>
  <c r="J372" i="11"/>
  <c r="K372" i="11" s="1"/>
  <c r="J373" i="11"/>
  <c r="K373" i="11" s="1"/>
  <c r="J374" i="11"/>
  <c r="K374" i="11" s="1"/>
  <c r="J375" i="11"/>
  <c r="K375" i="11" s="1"/>
  <c r="J376" i="11"/>
  <c r="K376" i="11" s="1"/>
  <c r="J377" i="11"/>
  <c r="K377" i="11" s="1"/>
  <c r="J378" i="11"/>
  <c r="K378" i="11" s="1"/>
  <c r="J379" i="11"/>
  <c r="K379" i="11" s="1"/>
  <c r="J380" i="11"/>
  <c r="K380" i="11" s="1"/>
  <c r="J381" i="11"/>
  <c r="K381" i="11" s="1"/>
  <c r="J382" i="11"/>
  <c r="K382" i="11" s="1"/>
  <c r="J383" i="11"/>
  <c r="K383" i="11" s="1"/>
  <c r="J384" i="11"/>
  <c r="K384" i="11" s="1"/>
  <c r="J7" i="11"/>
  <c r="K7" i="11" s="1"/>
  <c r="J8" i="11"/>
  <c r="K8" i="11" s="1"/>
  <c r="J9" i="11"/>
  <c r="K9" i="11" s="1"/>
  <c r="J10" i="11"/>
  <c r="K10" i="11" s="1"/>
  <c r="J11" i="11"/>
  <c r="K11" i="11" s="1"/>
  <c r="J12" i="11"/>
  <c r="K12" i="11" s="1"/>
  <c r="J13" i="11"/>
  <c r="K13" i="11" s="1"/>
  <c r="J14" i="11"/>
  <c r="K14" i="11" s="1"/>
  <c r="J15" i="11"/>
  <c r="K15" i="11" s="1"/>
  <c r="J16" i="11"/>
  <c r="K16" i="11" s="1"/>
  <c r="J17" i="11"/>
  <c r="K17" i="11" s="1"/>
  <c r="J18" i="11"/>
  <c r="K18" i="11" s="1"/>
  <c r="J19" i="11"/>
  <c r="K19" i="11" s="1"/>
  <c r="J20" i="11"/>
  <c r="K20" i="11" s="1"/>
  <c r="J21" i="11"/>
  <c r="K21" i="11" s="1"/>
  <c r="J22" i="11"/>
  <c r="K22" i="11" s="1"/>
  <c r="J23" i="11"/>
  <c r="K23" i="11" s="1"/>
  <c r="J24" i="11"/>
  <c r="K24" i="11" s="1"/>
  <c r="J25" i="11"/>
  <c r="K25" i="11" s="1"/>
  <c r="J26" i="11"/>
  <c r="K26" i="11" s="1"/>
  <c r="J27" i="11"/>
  <c r="K27" i="11" s="1"/>
  <c r="J28" i="11"/>
  <c r="K28" i="11" s="1"/>
  <c r="J29" i="11"/>
  <c r="K29" i="11" s="1"/>
  <c r="J30" i="11"/>
  <c r="K30" i="11" s="1"/>
  <c r="J31" i="11"/>
  <c r="K31" i="11" s="1"/>
  <c r="J32" i="11"/>
  <c r="K32" i="11" s="1"/>
  <c r="J33" i="11"/>
  <c r="K33" i="11" s="1"/>
  <c r="J34" i="11"/>
  <c r="K34" i="11" s="1"/>
  <c r="J35" i="11"/>
  <c r="K35" i="11" s="1"/>
  <c r="J36" i="11"/>
  <c r="K36" i="11" s="1"/>
  <c r="J37" i="11"/>
  <c r="K37" i="11" s="1"/>
  <c r="J38" i="11"/>
  <c r="K38" i="11" s="1"/>
  <c r="J39" i="11"/>
  <c r="K39" i="11" s="1"/>
  <c r="J40" i="11"/>
  <c r="K40" i="11" s="1"/>
  <c r="J41" i="11"/>
  <c r="K41" i="11" s="1"/>
  <c r="J42" i="11"/>
  <c r="K42" i="11" s="1"/>
  <c r="J43" i="11"/>
  <c r="K43" i="11" s="1"/>
  <c r="J44" i="11"/>
  <c r="K44" i="11" s="1"/>
  <c r="J45" i="11"/>
  <c r="K45" i="11" s="1"/>
  <c r="J46" i="11"/>
  <c r="K46" i="11" s="1"/>
  <c r="J47" i="11"/>
  <c r="K47" i="11" s="1"/>
  <c r="J48" i="11"/>
  <c r="K48" i="11" s="1"/>
  <c r="J49" i="11"/>
  <c r="K49" i="11" s="1"/>
  <c r="J50" i="11"/>
  <c r="K50" i="11" s="1"/>
  <c r="J51" i="11"/>
  <c r="K51" i="11" s="1"/>
  <c r="J52" i="11"/>
  <c r="K52" i="11" s="1"/>
  <c r="J53" i="11"/>
  <c r="K53" i="11" s="1"/>
  <c r="J54" i="11"/>
  <c r="K54" i="11" s="1"/>
  <c r="J55" i="11"/>
  <c r="K55" i="11" s="1"/>
  <c r="J56" i="11"/>
  <c r="K56" i="11" s="1"/>
  <c r="J57" i="11"/>
  <c r="K57" i="11" s="1"/>
  <c r="J58" i="11"/>
  <c r="K58" i="11" s="1"/>
  <c r="J59" i="11"/>
  <c r="K59" i="11" s="1"/>
  <c r="J60" i="11"/>
  <c r="K60" i="11" s="1"/>
  <c r="J61" i="11"/>
  <c r="K61" i="11" s="1"/>
  <c r="J62" i="11"/>
  <c r="K62" i="11" s="1"/>
  <c r="J63" i="11"/>
  <c r="K63" i="11" s="1"/>
  <c r="J64" i="11"/>
  <c r="K64" i="11" s="1"/>
  <c r="J65" i="11"/>
  <c r="K65" i="11" s="1"/>
  <c r="J66" i="11"/>
  <c r="K66" i="11" s="1"/>
  <c r="J67" i="11"/>
  <c r="K67" i="11" s="1"/>
  <c r="J68" i="11"/>
  <c r="K68" i="11" s="1"/>
  <c r="J69" i="11"/>
  <c r="K69" i="11" s="1"/>
  <c r="J70" i="11"/>
  <c r="K70" i="11" s="1"/>
  <c r="J71" i="11"/>
  <c r="K71" i="11" s="1"/>
  <c r="J72" i="11"/>
  <c r="K72" i="11" s="1"/>
  <c r="J73" i="11"/>
  <c r="K73" i="11" s="1"/>
  <c r="J74" i="11"/>
  <c r="K74" i="11" s="1"/>
  <c r="J75" i="11"/>
  <c r="K75" i="11" s="1"/>
  <c r="J76" i="11"/>
  <c r="K76" i="11" s="1"/>
  <c r="J77" i="11"/>
  <c r="K77" i="11" s="1"/>
  <c r="J78" i="11"/>
  <c r="K78" i="11" s="1"/>
  <c r="J79" i="11"/>
  <c r="K79" i="11" s="1"/>
  <c r="J80" i="11"/>
  <c r="K80" i="11" s="1"/>
  <c r="J81" i="11"/>
  <c r="K81" i="11" s="1"/>
  <c r="J82" i="11"/>
  <c r="K82" i="11" s="1"/>
  <c r="J83" i="11"/>
  <c r="K83" i="11" s="1"/>
  <c r="J84" i="11"/>
  <c r="K84" i="11" s="1"/>
  <c r="J85" i="11"/>
  <c r="K85" i="11" s="1"/>
  <c r="J86" i="11"/>
  <c r="K86" i="11" s="1"/>
  <c r="J87" i="11"/>
  <c r="K87" i="11" s="1"/>
  <c r="J88" i="11"/>
  <c r="K88" i="11" s="1"/>
  <c r="J89" i="11"/>
  <c r="K89" i="11" s="1"/>
  <c r="J90" i="11"/>
  <c r="K90" i="11" s="1"/>
  <c r="J91" i="11"/>
  <c r="K91" i="11" s="1"/>
  <c r="J92" i="11"/>
  <c r="K92" i="11" s="1"/>
  <c r="J93" i="11"/>
  <c r="K93" i="11" s="1"/>
  <c r="J94" i="11"/>
  <c r="K94" i="11" s="1"/>
  <c r="J95" i="11"/>
  <c r="K95" i="11" s="1"/>
  <c r="J96" i="11"/>
  <c r="K96" i="11" s="1"/>
  <c r="J97" i="11"/>
  <c r="K97" i="11" s="1"/>
  <c r="J98" i="11"/>
  <c r="K98" i="11" s="1"/>
  <c r="J99" i="11"/>
  <c r="K99" i="11" s="1"/>
  <c r="J100" i="11"/>
  <c r="K100" i="11" s="1"/>
  <c r="J101" i="11"/>
  <c r="K101" i="11" s="1"/>
  <c r="J102" i="11"/>
  <c r="K102" i="11" s="1"/>
  <c r="J103" i="11"/>
  <c r="K103" i="11" s="1"/>
  <c r="J104" i="11"/>
  <c r="K104" i="11" s="1"/>
  <c r="J105" i="11"/>
  <c r="K105" i="11" s="1"/>
  <c r="J106" i="11"/>
  <c r="K106" i="11" s="1"/>
  <c r="J107" i="11"/>
  <c r="K107" i="11" s="1"/>
  <c r="J108" i="11"/>
  <c r="K108" i="11" s="1"/>
  <c r="J109" i="11"/>
  <c r="K109" i="11" s="1"/>
  <c r="J110" i="11"/>
  <c r="K110" i="11" s="1"/>
  <c r="J111" i="11"/>
  <c r="K111" i="11" s="1"/>
  <c r="J112" i="11"/>
  <c r="K112" i="11" s="1"/>
  <c r="J113" i="11"/>
  <c r="K113" i="11" s="1"/>
  <c r="J114" i="11"/>
  <c r="K114" i="11" s="1"/>
  <c r="J115" i="11"/>
  <c r="K115" i="11" s="1"/>
  <c r="J116" i="11"/>
  <c r="K116" i="11" s="1"/>
  <c r="J117" i="11"/>
  <c r="K117" i="11" s="1"/>
  <c r="J118" i="11"/>
  <c r="K118" i="11" s="1"/>
  <c r="J119" i="11"/>
  <c r="K119" i="11" s="1"/>
  <c r="J120" i="11"/>
  <c r="K120" i="11" s="1"/>
  <c r="J121" i="11"/>
  <c r="K121" i="11" s="1"/>
  <c r="J122" i="11"/>
  <c r="K122" i="11" s="1"/>
  <c r="J123" i="11"/>
  <c r="K123" i="11" s="1"/>
  <c r="J124" i="11"/>
  <c r="K124" i="11" s="1"/>
  <c r="J125" i="11"/>
  <c r="K125" i="11" s="1"/>
  <c r="J126" i="11"/>
  <c r="K126" i="11" s="1"/>
  <c r="J127" i="11"/>
  <c r="K127" i="11" s="1"/>
  <c r="J128" i="11"/>
  <c r="K128" i="11" s="1"/>
  <c r="J129" i="11"/>
  <c r="K129" i="11" s="1"/>
  <c r="J130" i="11"/>
  <c r="K130" i="11" s="1"/>
  <c r="J131" i="11"/>
  <c r="K131" i="11" s="1"/>
  <c r="J132" i="11"/>
  <c r="K132" i="11" s="1"/>
  <c r="J133" i="11"/>
  <c r="K133" i="11" s="1"/>
  <c r="J134" i="11"/>
  <c r="K134" i="11" s="1"/>
  <c r="J135" i="11"/>
  <c r="K135" i="11" s="1"/>
  <c r="J136" i="11"/>
  <c r="K136" i="11" s="1"/>
  <c r="J137" i="11"/>
  <c r="K137" i="11" s="1"/>
  <c r="J138" i="11"/>
  <c r="K138" i="11" s="1"/>
  <c r="J139" i="11"/>
  <c r="K139" i="11" s="1"/>
  <c r="J140" i="11"/>
  <c r="K140" i="11" s="1"/>
  <c r="J141" i="11"/>
  <c r="K141" i="11" s="1"/>
  <c r="J142" i="11"/>
  <c r="K142" i="11" s="1"/>
  <c r="J143" i="11"/>
  <c r="K143" i="11" s="1"/>
  <c r="J144" i="11"/>
  <c r="K144" i="11" s="1"/>
  <c r="J145" i="11"/>
  <c r="K145" i="11" s="1"/>
  <c r="J146" i="11"/>
  <c r="K146" i="11" s="1"/>
  <c r="J147" i="11"/>
  <c r="K147" i="11" s="1"/>
  <c r="J148" i="11"/>
  <c r="K148" i="11" s="1"/>
  <c r="J149" i="11"/>
  <c r="K149" i="11" s="1"/>
  <c r="J150" i="11"/>
  <c r="K150" i="11" s="1"/>
  <c r="J151" i="11"/>
  <c r="K151" i="11" s="1"/>
  <c r="J152" i="11"/>
  <c r="K152" i="11" s="1"/>
  <c r="J153" i="11"/>
  <c r="K153" i="11" s="1"/>
  <c r="J154" i="11"/>
  <c r="K154" i="11" s="1"/>
  <c r="J155" i="11"/>
  <c r="K155" i="11" s="1"/>
  <c r="J156" i="11"/>
  <c r="K156" i="11" s="1"/>
  <c r="J157" i="11"/>
  <c r="K157" i="11" s="1"/>
  <c r="J158" i="11"/>
  <c r="K158" i="11" s="1"/>
  <c r="J159" i="11"/>
  <c r="K159" i="11" s="1"/>
  <c r="J160" i="11"/>
  <c r="K160" i="11" s="1"/>
  <c r="J161" i="11"/>
  <c r="K161" i="11" s="1"/>
  <c r="J162" i="11"/>
  <c r="K162" i="11" s="1"/>
  <c r="J163" i="11"/>
  <c r="K163" i="11" s="1"/>
  <c r="J164" i="11"/>
  <c r="K164" i="11" s="1"/>
  <c r="J165" i="11"/>
  <c r="K165" i="11" s="1"/>
  <c r="J166" i="11"/>
  <c r="K166" i="11" s="1"/>
  <c r="J167" i="11"/>
  <c r="K167" i="11" s="1"/>
  <c r="J168" i="11"/>
  <c r="K168" i="11" s="1"/>
  <c r="J169" i="11"/>
  <c r="K169" i="11" s="1"/>
  <c r="J170" i="11"/>
  <c r="K170" i="11" s="1"/>
  <c r="J171" i="11"/>
  <c r="K171" i="11" s="1"/>
  <c r="J172" i="11"/>
  <c r="K172" i="11" s="1"/>
  <c r="J173" i="11"/>
  <c r="K173" i="11" s="1"/>
  <c r="J174" i="11"/>
  <c r="K174" i="11" s="1"/>
  <c r="J175" i="11"/>
  <c r="K175" i="11" s="1"/>
  <c r="J176" i="11"/>
  <c r="K176" i="11" s="1"/>
  <c r="J177" i="11"/>
  <c r="K177" i="11" s="1"/>
  <c r="J178" i="11"/>
  <c r="K178" i="11" s="1"/>
  <c r="J179" i="11"/>
  <c r="K179" i="11" s="1"/>
  <c r="J180" i="11"/>
  <c r="K180" i="11" s="1"/>
  <c r="J181" i="11"/>
  <c r="K181" i="11" s="1"/>
  <c r="J182" i="11"/>
  <c r="K182" i="11" s="1"/>
  <c r="J183" i="11"/>
  <c r="K183" i="11" s="1"/>
  <c r="J184" i="11"/>
  <c r="K184" i="11" s="1"/>
  <c r="J185" i="11"/>
  <c r="K185" i="11" s="1"/>
  <c r="J186" i="11"/>
  <c r="K186" i="11" s="1"/>
  <c r="J187" i="11"/>
  <c r="K187" i="11" s="1"/>
  <c r="J188" i="11"/>
  <c r="K188" i="11" s="1"/>
  <c r="J189" i="11"/>
  <c r="K189" i="11" s="1"/>
  <c r="J190" i="11"/>
  <c r="K190" i="11" s="1"/>
  <c r="J191" i="11"/>
  <c r="K191" i="11" s="1"/>
  <c r="J192" i="11"/>
  <c r="K192" i="11" s="1"/>
  <c r="J193" i="11"/>
  <c r="K193" i="11" s="1"/>
  <c r="J194" i="11"/>
  <c r="K194" i="11" s="1"/>
  <c r="J195" i="11"/>
  <c r="K195" i="11" s="1"/>
  <c r="J196" i="11"/>
  <c r="K196" i="11" s="1"/>
  <c r="J197" i="11"/>
  <c r="K197" i="11" s="1"/>
  <c r="J198" i="11"/>
  <c r="K198" i="11" s="1"/>
  <c r="J199" i="11"/>
  <c r="K199" i="11" s="1"/>
  <c r="J200" i="11"/>
  <c r="K200" i="11" s="1"/>
  <c r="J201" i="11"/>
  <c r="K201" i="11" s="1"/>
  <c r="J202" i="11"/>
  <c r="K202" i="11" s="1"/>
  <c r="J203" i="11"/>
  <c r="K203" i="11" s="1"/>
  <c r="J204" i="11"/>
  <c r="K204" i="11" s="1"/>
  <c r="J205" i="11"/>
  <c r="K205" i="11" s="1"/>
  <c r="J206" i="11"/>
  <c r="K206" i="11" s="1"/>
  <c r="J207" i="11"/>
  <c r="K207" i="11" s="1"/>
  <c r="J208" i="11"/>
  <c r="K208" i="11" s="1"/>
  <c r="J209" i="11"/>
  <c r="K209" i="11" s="1"/>
  <c r="J210" i="11"/>
  <c r="K210" i="11" s="1"/>
  <c r="J211" i="11"/>
  <c r="K211" i="11" s="1"/>
  <c r="J212" i="11"/>
  <c r="K212" i="11" s="1"/>
  <c r="J213" i="11"/>
  <c r="K213" i="11" s="1"/>
  <c r="J214" i="11"/>
  <c r="K214" i="11" s="1"/>
  <c r="J215" i="11"/>
  <c r="K215" i="11" s="1"/>
  <c r="J216" i="11"/>
  <c r="K216" i="11" s="1"/>
  <c r="J217" i="11"/>
  <c r="K217" i="11" s="1"/>
  <c r="J218" i="11"/>
  <c r="K218" i="11" s="1"/>
  <c r="J219" i="11"/>
  <c r="K219" i="11" s="1"/>
  <c r="J220" i="11"/>
  <c r="K220" i="11" s="1"/>
  <c r="J221" i="11"/>
  <c r="K221" i="11" s="1"/>
  <c r="J222" i="11"/>
  <c r="K222" i="11" s="1"/>
  <c r="J223" i="11"/>
  <c r="K223" i="11" s="1"/>
  <c r="J224" i="11"/>
  <c r="K224" i="11" s="1"/>
  <c r="J225" i="11"/>
  <c r="K225" i="11" s="1"/>
  <c r="J226" i="11"/>
  <c r="K226" i="11" s="1"/>
  <c r="J227" i="11"/>
  <c r="K227" i="11" s="1"/>
  <c r="J228" i="11"/>
  <c r="K228" i="11" s="1"/>
  <c r="J229" i="11"/>
  <c r="K229" i="11" s="1"/>
  <c r="J230" i="11"/>
  <c r="K230" i="11" s="1"/>
  <c r="J231" i="11"/>
  <c r="K231" i="11" s="1"/>
  <c r="J232" i="11"/>
  <c r="K232" i="11" s="1"/>
  <c r="J233" i="11"/>
  <c r="K233" i="11" s="1"/>
  <c r="J234" i="11"/>
  <c r="K234" i="11" s="1"/>
  <c r="J235" i="11"/>
  <c r="K235" i="11" s="1"/>
  <c r="J236" i="11"/>
  <c r="K236" i="11" s="1"/>
  <c r="J237" i="11"/>
  <c r="K237" i="11" s="1"/>
  <c r="J238" i="11"/>
  <c r="K238" i="11" s="1"/>
  <c r="J239" i="11"/>
  <c r="K239" i="11" s="1"/>
  <c r="J240" i="11"/>
  <c r="K240" i="11" s="1"/>
  <c r="J241" i="11"/>
  <c r="K241" i="11" s="1"/>
  <c r="J242" i="11"/>
  <c r="K242" i="11" s="1"/>
  <c r="J243" i="11"/>
  <c r="K243" i="11" s="1"/>
  <c r="J244" i="11"/>
  <c r="K244" i="11" s="1"/>
  <c r="J245" i="11"/>
  <c r="K245" i="11" s="1"/>
  <c r="J246" i="11"/>
  <c r="K246" i="11" s="1"/>
  <c r="J247" i="11"/>
  <c r="K247" i="11" s="1"/>
  <c r="J248" i="11"/>
  <c r="K248" i="11" s="1"/>
  <c r="J249" i="11"/>
  <c r="K249" i="11" s="1"/>
  <c r="J250" i="11"/>
  <c r="K250" i="11" s="1"/>
  <c r="J251" i="11"/>
  <c r="K251" i="11" s="1"/>
  <c r="J252" i="11"/>
  <c r="K252" i="11" s="1"/>
  <c r="J253" i="11"/>
  <c r="K253" i="11" s="1"/>
  <c r="J254" i="11"/>
  <c r="K254" i="11" s="1"/>
  <c r="J255" i="11"/>
  <c r="K255" i="11" s="1"/>
  <c r="J256" i="11"/>
  <c r="K256" i="11" s="1"/>
  <c r="J257" i="11"/>
  <c r="K257" i="11" s="1"/>
  <c r="J258" i="11"/>
  <c r="K258" i="11" s="1"/>
  <c r="J259" i="11"/>
  <c r="K259" i="11" s="1"/>
  <c r="J260" i="11"/>
  <c r="K260" i="11" s="1"/>
  <c r="J261" i="11"/>
  <c r="K261" i="11" s="1"/>
  <c r="J262" i="11"/>
  <c r="K262" i="11" s="1"/>
  <c r="J263" i="11"/>
  <c r="K263" i="11" s="1"/>
  <c r="J264" i="11"/>
  <c r="K264" i="11" s="1"/>
  <c r="J265" i="11"/>
  <c r="K265" i="11" s="1"/>
  <c r="J266" i="11"/>
  <c r="K266" i="11" s="1"/>
  <c r="J267" i="11"/>
  <c r="K267" i="11" s="1"/>
  <c r="J268" i="11"/>
  <c r="K268" i="11" s="1"/>
  <c r="J269" i="11"/>
  <c r="K269" i="11" s="1"/>
  <c r="J270" i="11"/>
  <c r="K270" i="11" s="1"/>
  <c r="J271" i="11"/>
  <c r="K271" i="11" s="1"/>
  <c r="J272" i="11"/>
  <c r="K272" i="11" s="1"/>
  <c r="J273" i="11"/>
  <c r="K273" i="11" s="1"/>
  <c r="J274" i="11"/>
  <c r="K274" i="11" s="1"/>
  <c r="J275" i="11"/>
  <c r="K275" i="11" s="1"/>
  <c r="J276" i="11"/>
  <c r="K276" i="11" s="1"/>
  <c r="J277" i="11"/>
  <c r="K277" i="11" s="1"/>
  <c r="J278" i="11"/>
  <c r="K278" i="11" s="1"/>
  <c r="J279" i="11"/>
  <c r="K279" i="11" s="1"/>
  <c r="J280" i="11"/>
  <c r="K280" i="11" s="1"/>
  <c r="J281" i="11"/>
  <c r="K281" i="11" s="1"/>
  <c r="J282" i="11"/>
  <c r="K282" i="11" s="1"/>
  <c r="J283" i="11"/>
  <c r="K283" i="11" s="1"/>
  <c r="J284" i="11"/>
  <c r="K284" i="11" s="1"/>
  <c r="J285" i="11"/>
  <c r="K285" i="11" s="1"/>
  <c r="J286" i="11"/>
  <c r="K286" i="11" s="1"/>
  <c r="J287" i="11"/>
  <c r="K287" i="11" s="1"/>
  <c r="J288" i="11"/>
  <c r="K288" i="11" s="1"/>
  <c r="J289" i="11"/>
  <c r="K289" i="11" s="1"/>
  <c r="J290" i="11"/>
  <c r="K290" i="11" s="1"/>
  <c r="J291" i="11"/>
  <c r="K291" i="11" s="1"/>
  <c r="J292" i="11"/>
  <c r="K292" i="11" s="1"/>
  <c r="J293" i="11"/>
  <c r="K293" i="11" s="1"/>
  <c r="J294" i="11"/>
  <c r="K294" i="11" s="1"/>
  <c r="J295" i="11"/>
  <c r="K295" i="11" s="1"/>
  <c r="J296" i="11"/>
  <c r="K296" i="11" s="1"/>
  <c r="J297" i="11"/>
  <c r="K297" i="11" s="1"/>
  <c r="J298" i="11"/>
  <c r="K298" i="11" s="1"/>
  <c r="J299" i="11"/>
  <c r="K299" i="11" s="1"/>
  <c r="J300" i="11"/>
  <c r="K300" i="11" s="1"/>
  <c r="J301" i="11"/>
  <c r="K301" i="11" s="1"/>
  <c r="J302" i="11"/>
  <c r="K302" i="11" s="1"/>
  <c r="J303" i="11"/>
  <c r="K303" i="11" s="1"/>
  <c r="J304" i="11"/>
  <c r="K304" i="11" s="1"/>
  <c r="J305" i="11"/>
  <c r="K305" i="11" s="1"/>
  <c r="J306" i="11"/>
  <c r="K306" i="11" s="1"/>
  <c r="J307" i="11"/>
  <c r="K307" i="11" s="1"/>
  <c r="J308" i="11"/>
  <c r="K308" i="11" s="1"/>
  <c r="J309" i="11"/>
  <c r="K309" i="11" s="1"/>
  <c r="J310" i="11"/>
  <c r="K310" i="11" s="1"/>
  <c r="J311" i="11"/>
  <c r="K311" i="11" s="1"/>
  <c r="J312" i="11"/>
  <c r="K312" i="11" s="1"/>
  <c r="J313" i="11"/>
  <c r="K313" i="11" s="1"/>
  <c r="J314" i="11"/>
  <c r="K314" i="11" s="1"/>
  <c r="J315" i="11"/>
  <c r="K315" i="11" s="1"/>
  <c r="J316" i="11"/>
  <c r="K316" i="11" s="1"/>
  <c r="J317" i="11"/>
  <c r="K317" i="11" s="1"/>
  <c r="J318" i="11"/>
  <c r="K318" i="11" s="1"/>
  <c r="J319" i="11"/>
  <c r="K319" i="11" s="1"/>
  <c r="J320" i="11"/>
  <c r="K320" i="11" s="1"/>
  <c r="J321" i="11"/>
  <c r="K321" i="11" s="1"/>
  <c r="J322" i="11"/>
  <c r="K322" i="11" s="1"/>
  <c r="J323" i="11"/>
  <c r="K323" i="11" s="1"/>
  <c r="J324" i="11"/>
  <c r="K324" i="11" s="1"/>
  <c r="J325" i="11"/>
  <c r="K325" i="11" s="1"/>
  <c r="J326" i="11"/>
  <c r="K326" i="11" s="1"/>
  <c r="J327" i="11"/>
  <c r="K327" i="11" s="1"/>
  <c r="J328" i="11"/>
  <c r="K328" i="11" s="1"/>
  <c r="J329" i="11"/>
  <c r="K329" i="11" s="1"/>
  <c r="J330" i="11"/>
  <c r="K330" i="11" s="1"/>
  <c r="J331" i="11"/>
  <c r="K331" i="11" s="1"/>
  <c r="J332" i="11"/>
  <c r="K332" i="11" s="1"/>
  <c r="J333" i="11"/>
  <c r="K333" i="11" s="1"/>
  <c r="J334" i="11"/>
  <c r="K334" i="11" s="1"/>
  <c r="J335" i="11"/>
  <c r="K335" i="11" s="1"/>
  <c r="J336" i="11"/>
  <c r="K336" i="11" s="1"/>
  <c r="J337" i="11"/>
  <c r="K337" i="11" s="1"/>
  <c r="J338" i="11"/>
  <c r="K338" i="11" s="1"/>
  <c r="J339" i="11"/>
  <c r="K339" i="11" s="1"/>
  <c r="J340" i="11"/>
  <c r="K340" i="11" s="1"/>
  <c r="J341" i="11"/>
  <c r="K341" i="11" s="1"/>
  <c r="J342" i="11"/>
  <c r="K342" i="11" s="1"/>
  <c r="J6" i="11"/>
  <c r="K6" i="11" s="1"/>
  <c r="K4" i="11" s="1"/>
  <c r="G3" i="10"/>
  <c r="X35" i="10" a="1"/>
  <c r="R35" i="10" a="1"/>
  <c r="R35" i="10" s="1"/>
  <c r="R32" i="10" a="1"/>
  <c r="X32" i="10" a="1"/>
  <c r="X32" i="10" s="1"/>
  <c r="R29" i="10" a="1"/>
  <c r="R29" i="10" s="1"/>
  <c r="E29" i="10" a="1"/>
  <c r="E29" i="10" s="1"/>
  <c r="T28" i="10" a="1"/>
  <c r="R28" i="10" a="1"/>
  <c r="R28" i="10" s="1"/>
  <c r="E26" i="10" a="1"/>
  <c r="E26" i="10" s="1"/>
  <c r="E25" i="10" a="1"/>
  <c r="E25" i="10" s="1"/>
  <c r="X24" i="10" a="1"/>
  <c r="E24" i="10" a="1"/>
  <c r="E24" i="10" s="1"/>
  <c r="E22" i="10" a="1"/>
  <c r="E22" i="10" s="1"/>
  <c r="X21" i="10" a="1"/>
  <c r="X21" i="10" s="1"/>
  <c r="R20" i="10" a="1"/>
  <c r="R20" i="10" s="1"/>
  <c r="E19" i="10" a="1"/>
  <c r="E19" i="10" s="1"/>
  <c r="T18" i="10" a="1"/>
  <c r="T18" i="10" s="1"/>
  <c r="X17" i="10" a="1"/>
  <c r="X17" i="10" s="1"/>
  <c r="E16" i="10" a="1"/>
  <c r="E16" i="10" s="1"/>
  <c r="E15" i="10" a="1"/>
  <c r="E15" i="10" s="1"/>
  <c r="R14" i="10" a="1"/>
  <c r="R14" i="10" s="1"/>
  <c r="E13" i="10" a="1"/>
  <c r="E13" i="10" s="1"/>
  <c r="R12" i="10" a="1"/>
  <c r="R12" i="10" s="1"/>
  <c r="E11" i="10" a="1"/>
  <c r="E11" i="10" s="1"/>
  <c r="T10" i="10" a="1"/>
  <c r="T10" i="10" s="1"/>
  <c r="E9" i="10" a="1"/>
  <c r="E9" i="10" s="1"/>
  <c r="X7" i="10" a="1"/>
  <c r="X7" i="10" s="1"/>
  <c r="T7" i="10" a="1"/>
  <c r="T7" i="10" s="1"/>
  <c r="R7" i="10" a="1"/>
  <c r="R7" i="10" s="1"/>
  <c r="E7" i="10" a="1"/>
  <c r="E7" i="10" s="1"/>
  <c r="X24" i="10" l="1"/>
  <c r="R32" i="10"/>
  <c r="X35" i="10"/>
  <c r="T28" i="10"/>
  <c r="T15" i="10" a="1"/>
  <c r="T15" i="10" s="1"/>
  <c r="T17" i="10" a="1"/>
  <c r="T17" i="10" s="1"/>
  <c r="X28" i="10" a="1"/>
  <c r="X28" i="10" s="1"/>
  <c r="T36" i="10" a="1"/>
  <c r="T36" i="10" s="1"/>
  <c r="X36" i="10" a="1"/>
  <c r="X36" i="10" s="1"/>
  <c r="X14" i="10" a="1"/>
  <c r="X14" i="10" s="1"/>
  <c r="X15" i="10" a="1"/>
  <c r="X15" i="10" s="1"/>
  <c r="R25" i="10" a="1"/>
  <c r="R25" i="10" s="1"/>
  <c r="E28" i="10" a="1"/>
  <c r="E28" i="10" s="1"/>
  <c r="E10" i="10" a="1"/>
  <c r="E10" i="10" s="1"/>
  <c r="X10" i="10" a="1"/>
  <c r="X10" i="10" s="1"/>
  <c r="T11" i="10" a="1"/>
  <c r="T11" i="10" s="1"/>
  <c r="E14" i="10" a="1"/>
  <c r="E14" i="10" s="1"/>
  <c r="T14" i="10" a="1"/>
  <c r="T14" i="10" s="1"/>
  <c r="R15" i="10" a="1"/>
  <c r="R15" i="10" s="1"/>
  <c r="E17" i="10" a="1"/>
  <c r="E17" i="10" s="1"/>
  <c r="E18" i="10" a="1"/>
  <c r="E18" i="10" s="1"/>
  <c r="X18" i="10" a="1"/>
  <c r="X18" i="10" s="1"/>
  <c r="R19" i="10" a="1"/>
  <c r="R19" i="10" s="1"/>
  <c r="T22" i="10" a="1"/>
  <c r="T22" i="10" s="1"/>
  <c r="X25" i="10" a="1"/>
  <c r="X25" i="10" s="1"/>
  <c r="R30" i="10" a="1"/>
  <c r="R30" i="10" s="1"/>
  <c r="T35" i="10" a="1"/>
  <c r="T35" i="10" s="1"/>
  <c r="T19" i="10" a="1"/>
  <c r="T19" i="10" s="1"/>
  <c r="R10" i="10" a="1"/>
  <c r="R10" i="10" s="1"/>
  <c r="X11" i="10" a="1"/>
  <c r="X11" i="10" s="1"/>
  <c r="R18" i="10" a="1"/>
  <c r="R18" i="10" s="1"/>
  <c r="T25" i="10" a="1"/>
  <c r="T25" i="10" s="1"/>
  <c r="R26" i="10" a="1"/>
  <c r="R26" i="10" s="1"/>
  <c r="T32" i="10" a="1"/>
  <c r="T32" i="10" s="1"/>
  <c r="R36" i="10" a="1"/>
  <c r="R36" i="10" s="1"/>
  <c r="R11" i="10" a="1"/>
  <c r="R11" i="10" s="1"/>
  <c r="R22" i="10" a="1"/>
  <c r="R22" i="10" s="1"/>
  <c r="E32" i="10" a="1"/>
  <c r="E32" i="10" s="1"/>
  <c r="E35" i="10" a="1"/>
  <c r="E35" i="10" s="1"/>
  <c r="E36" i="10" a="1"/>
  <c r="E36" i="10" s="1"/>
  <c r="R13" i="10" a="1"/>
  <c r="R13" i="10" s="1"/>
  <c r="X13" i="10" a="1"/>
  <c r="X13" i="10" s="1"/>
  <c r="T13" i="10" a="1"/>
  <c r="T13" i="10" s="1"/>
  <c r="X12" i="10" a="1"/>
  <c r="X12" i="10" s="1"/>
  <c r="T12" i="10" a="1"/>
  <c r="T12" i="10" s="1"/>
  <c r="E12" i="10" a="1"/>
  <c r="E12" i="10" s="1"/>
  <c r="R9" i="10" a="1"/>
  <c r="R9" i="10" s="1"/>
  <c r="X9" i="10" a="1"/>
  <c r="X9" i="10" s="1"/>
  <c r="T9" i="10" a="1"/>
  <c r="T9" i="10" s="1"/>
  <c r="X16" i="10" a="1"/>
  <c r="X16" i="10" s="1"/>
  <c r="T16" i="10" a="1"/>
  <c r="T16" i="10" s="1"/>
  <c r="R16" i="10" a="1"/>
  <c r="R16" i="10" s="1"/>
  <c r="R34" i="10" a="1"/>
  <c r="R34" i="10" s="1"/>
  <c r="X34" i="10" a="1"/>
  <c r="X34" i="10" s="1"/>
  <c r="T34" i="10" a="1"/>
  <c r="T34" i="10" s="1"/>
  <c r="E34" i="10" a="1"/>
  <c r="E34" i="10" s="1"/>
  <c r="R21" i="10" a="1"/>
  <c r="R21" i="10" s="1"/>
  <c r="X20" i="10" a="1"/>
  <c r="X20" i="10" s="1"/>
  <c r="T20" i="10" a="1"/>
  <c r="T20" i="10" s="1"/>
  <c r="E21" i="10" a="1"/>
  <c r="E21" i="10" s="1"/>
  <c r="T21" i="10" a="1"/>
  <c r="T21" i="10" s="1"/>
  <c r="R17" i="10" a="1"/>
  <c r="R17" i="10" s="1"/>
  <c r="X19" i="10" a="1"/>
  <c r="X19" i="10" s="1"/>
  <c r="E20" i="10" a="1"/>
  <c r="E20" i="10" s="1"/>
  <c r="X23" i="10" a="1"/>
  <c r="X23" i="10" s="1"/>
  <c r="T23" i="10" a="1"/>
  <c r="T23" i="10" s="1"/>
  <c r="E23" i="10" a="1"/>
  <c r="E23" i="10" s="1"/>
  <c r="R23" i="10" a="1"/>
  <c r="R23" i="10" s="1"/>
  <c r="R31" i="10" a="1"/>
  <c r="R31" i="10" s="1"/>
  <c r="T31" i="10" a="1"/>
  <c r="T31" i="10" s="1"/>
  <c r="X31" i="10" a="1"/>
  <c r="X31" i="10" s="1"/>
  <c r="E31" i="10" a="1"/>
  <c r="E31" i="10" s="1"/>
  <c r="X33" i="10" a="1"/>
  <c r="X33" i="10" s="1"/>
  <c r="T33" i="10" a="1"/>
  <c r="T33" i="10" s="1"/>
  <c r="E33" i="10" a="1"/>
  <c r="E33" i="10" s="1"/>
  <c r="R33" i="10" a="1"/>
  <c r="R33" i="10" s="1"/>
  <c r="R24" i="10" a="1"/>
  <c r="R24" i="10" s="1"/>
  <c r="R27" i="10" a="1"/>
  <c r="R27" i="10" s="1"/>
  <c r="X27" i="10" a="1"/>
  <c r="X27" i="10" s="1"/>
  <c r="E27" i="10" a="1"/>
  <c r="E27" i="10" s="1"/>
  <c r="X22" i="10" a="1"/>
  <c r="X22" i="10" s="1"/>
  <c r="T24" i="10" a="1"/>
  <c r="T24" i="10" s="1"/>
  <c r="T27" i="10" a="1"/>
  <c r="T27" i="10" s="1"/>
  <c r="X26" i="10" a="1"/>
  <c r="X26" i="10" s="1"/>
  <c r="T26" i="10" a="1"/>
  <c r="T26" i="10" s="1"/>
  <c r="T29" i="10" a="1"/>
  <c r="T29" i="10" s="1"/>
  <c r="X30" i="10" a="1"/>
  <c r="X30" i="10" s="1"/>
  <c r="T30" i="10" a="1"/>
  <c r="T30" i="10" s="1"/>
  <c r="X29" i="10" a="1"/>
  <c r="X29" i="10" s="1"/>
  <c r="E30" i="10" a="1"/>
  <c r="E30" i="10" s="1"/>
  <c r="I3" i="11" l="1"/>
  <c r="R5" i="10"/>
  <c r="T5" i="10"/>
  <c r="X5" i="10"/>
  <c r="E5" i="10"/>
  <c r="G18" i="10" l="1"/>
  <c r="G10" i="10"/>
  <c r="G20" i="10"/>
  <c r="G28" i="10"/>
  <c r="G22" i="10"/>
  <c r="R31" i="9"/>
  <c r="G23" i="10"/>
  <c r="G29" i="10"/>
  <c r="G30" i="10"/>
  <c r="G36" i="10"/>
  <c r="G15" i="10"/>
  <c r="G24" i="10"/>
  <c r="G11" i="10"/>
  <c r="G25" i="10"/>
  <c r="G14" i="10"/>
  <c r="G19" i="10"/>
  <c r="G33" i="10"/>
  <c r="G16" i="10"/>
  <c r="G35" i="10"/>
  <c r="G31" i="10"/>
  <c r="G26" i="10"/>
  <c r="G17" i="10"/>
  <c r="G12" i="10"/>
  <c r="G27" i="10"/>
  <c r="G34" i="10"/>
  <c r="G9" i="10"/>
  <c r="G32" i="10"/>
  <c r="G21" i="10"/>
  <c r="G13" i="10"/>
  <c r="B4" i="8"/>
  <c r="B3" i="8"/>
  <c r="B2" i="8"/>
  <c r="I32" i="10" l="1"/>
  <c r="J32" i="10" s="1"/>
  <c r="I12" i="10"/>
  <c r="J12" i="10" s="1"/>
  <c r="I35" i="10"/>
  <c r="J35" i="10" s="1"/>
  <c r="I14" i="10"/>
  <c r="J14" i="10" s="1"/>
  <c r="I15" i="10"/>
  <c r="J15" i="10" s="1"/>
  <c r="I23" i="10"/>
  <c r="J23" i="10" s="1"/>
  <c r="I20" i="10"/>
  <c r="J20" i="10" s="1"/>
  <c r="I21" i="10"/>
  <c r="J21" i="10" s="1"/>
  <c r="I9" i="10"/>
  <c r="J9" i="10" s="1"/>
  <c r="I17" i="10"/>
  <c r="I16" i="10"/>
  <c r="J16" i="10" s="1"/>
  <c r="I25" i="10"/>
  <c r="J25" i="10" s="1"/>
  <c r="I36" i="10"/>
  <c r="J36" i="10" s="1"/>
  <c r="I10" i="10"/>
  <c r="J10" i="10" s="1"/>
  <c r="I34" i="10"/>
  <c r="J34" i="10" s="1"/>
  <c r="I26" i="10"/>
  <c r="J26" i="10" s="1"/>
  <c r="I33" i="10"/>
  <c r="J33" i="10" s="1"/>
  <c r="I11" i="10"/>
  <c r="J11" i="10" s="1"/>
  <c r="I30" i="10"/>
  <c r="J30" i="10" s="1"/>
  <c r="I22" i="10"/>
  <c r="J22" i="10" s="1"/>
  <c r="I18" i="10"/>
  <c r="J18" i="10" s="1"/>
  <c r="I13" i="10"/>
  <c r="J13" i="10" s="1"/>
  <c r="I27" i="10"/>
  <c r="J27" i="10" s="1"/>
  <c r="I31" i="10"/>
  <c r="J31" i="10" s="1"/>
  <c r="I19" i="10"/>
  <c r="J19" i="10" s="1"/>
  <c r="I24" i="10"/>
  <c r="J24" i="10" s="1"/>
  <c r="I29" i="10"/>
  <c r="J29" i="10" s="1"/>
  <c r="I28" i="10"/>
  <c r="J28" i="10" s="1"/>
  <c r="G7" i="10"/>
  <c r="G5" i="10" s="1"/>
  <c r="F5" i="10"/>
  <c r="K25" i="10" l="1"/>
  <c r="L29" i="10"/>
  <c r="K27" i="10"/>
  <c r="K30" i="10"/>
  <c r="L34" i="10"/>
  <c r="L16" i="10"/>
  <c r="K20" i="10"/>
  <c r="L35" i="10"/>
  <c r="K13" i="10"/>
  <c r="L19" i="10"/>
  <c r="K18" i="10"/>
  <c r="L33" i="10"/>
  <c r="K9" i="10"/>
  <c r="K15" i="10"/>
  <c r="L15" i="10"/>
  <c r="K32" i="10"/>
  <c r="L32" i="10"/>
  <c r="J17" i="10"/>
  <c r="K3" i="11" s="1"/>
  <c r="K34" i="10"/>
  <c r="L27" i="10"/>
  <c r="L10" i="10"/>
  <c r="K10" i="10"/>
  <c r="K23" i="10"/>
  <c r="L23" i="10"/>
  <c r="L31" i="10"/>
  <c r="K31" i="10"/>
  <c r="L21" i="10"/>
  <c r="K21" i="10"/>
  <c r="L12" i="10"/>
  <c r="K12" i="10"/>
  <c r="L24" i="10"/>
  <c r="K24" i="10"/>
  <c r="L26" i="10"/>
  <c r="K26" i="10"/>
  <c r="K28" i="10"/>
  <c r="L28" i="10"/>
  <c r="K22" i="10"/>
  <c r="L22" i="10"/>
  <c r="AC22" i="10" s="1"/>
  <c r="K14" i="10"/>
  <c r="L14" i="10"/>
  <c r="L11" i="10"/>
  <c r="L20" i="10"/>
  <c r="K11" i="10"/>
  <c r="L18" i="10"/>
  <c r="K36" i="10"/>
  <c r="K19" i="10"/>
  <c r="K33" i="10"/>
  <c r="K16" i="10"/>
  <c r="L9" i="10"/>
  <c r="N9" i="10" s="1"/>
  <c r="L13" i="10"/>
  <c r="N13" i="10" s="1"/>
  <c r="L25" i="10"/>
  <c r="L30" i="10"/>
  <c r="AC30" i="10" s="1"/>
  <c r="K29" i="10"/>
  <c r="L36" i="10"/>
  <c r="N36" i="10" s="1"/>
  <c r="K35" i="10"/>
  <c r="I5" i="10"/>
  <c r="M34" i="10" l="1"/>
  <c r="M15" i="10"/>
  <c r="W15" i="10" s="1"/>
  <c r="Y15" i="10" s="1"/>
  <c r="N34" i="10"/>
  <c r="Q34" i="10" s="1"/>
  <c r="AC11" i="10"/>
  <c r="AC14" i="10"/>
  <c r="AC28" i="10"/>
  <c r="AC23" i="10"/>
  <c r="M20" i="10"/>
  <c r="W20" i="10" s="1"/>
  <c r="Y20" i="10" s="1"/>
  <c r="AC25" i="10"/>
  <c r="AC15" i="10"/>
  <c r="AC33" i="10"/>
  <c r="AC26" i="10"/>
  <c r="AC12" i="10"/>
  <c r="AC31" i="10"/>
  <c r="AC32" i="10"/>
  <c r="AC16" i="10"/>
  <c r="AC29" i="10"/>
  <c r="N18" i="10"/>
  <c r="Q18" i="10" s="1"/>
  <c r="AC27" i="10"/>
  <c r="AC34" i="10"/>
  <c r="AC24" i="10"/>
  <c r="AC21" i="10"/>
  <c r="AC35" i="10"/>
  <c r="N26" i="10"/>
  <c r="AB26" i="10"/>
  <c r="AB12" i="10"/>
  <c r="M31" i="10"/>
  <c r="W31" i="10" s="1"/>
  <c r="Y31" i="10" s="1"/>
  <c r="AB31" i="10"/>
  <c r="AB10" i="10"/>
  <c r="N29" i="10"/>
  <c r="AB29" i="10"/>
  <c r="Q9" i="10"/>
  <c r="S9" i="10" s="1"/>
  <c r="U9" i="10" s="1"/>
  <c r="AB36" i="10"/>
  <c r="AB22" i="10"/>
  <c r="AC36" i="10"/>
  <c r="AB18" i="10"/>
  <c r="AB13" i="10"/>
  <c r="AC20" i="10"/>
  <c r="Q36" i="10"/>
  <c r="S36" i="10" s="1"/>
  <c r="U36" i="10" s="1"/>
  <c r="N19" i="10"/>
  <c r="AB19" i="10"/>
  <c r="AB24" i="10"/>
  <c r="AB21" i="10"/>
  <c r="AB32" i="10"/>
  <c r="AC19" i="10"/>
  <c r="AC10" i="10"/>
  <c r="AB20" i="10"/>
  <c r="AF20" i="10"/>
  <c r="AB27" i="10"/>
  <c r="AB16" i="10"/>
  <c r="AB35" i="10"/>
  <c r="M33" i="10"/>
  <c r="W33" i="10" s="1"/>
  <c r="Y33" i="10" s="1"/>
  <c r="AB33" i="10"/>
  <c r="AB11" i="10"/>
  <c r="AB14" i="10"/>
  <c r="AB28" i="10"/>
  <c r="AB23" i="10"/>
  <c r="AB34" i="10"/>
  <c r="AC9" i="10"/>
  <c r="L17" i="10"/>
  <c r="L5" i="10" s="1"/>
  <c r="AB15" i="10"/>
  <c r="AF15" i="10"/>
  <c r="AB9" i="10"/>
  <c r="AC18" i="10"/>
  <c r="AC13" i="10"/>
  <c r="AB30" i="10"/>
  <c r="AB25" i="10"/>
  <c r="M24" i="10"/>
  <c r="AF24" i="10" s="1"/>
  <c r="M32" i="10"/>
  <c r="N32" i="10"/>
  <c r="N27" i="10"/>
  <c r="M27" i="10"/>
  <c r="AF27" i="10" s="1"/>
  <c r="N31" i="10"/>
  <c r="M30" i="10"/>
  <c r="N15" i="10"/>
  <c r="M35" i="10"/>
  <c r="AF35" i="10" s="1"/>
  <c r="N35" i="10"/>
  <c r="M25" i="10"/>
  <c r="W25" i="10" s="1"/>
  <c r="Y25" i="10" s="1"/>
  <c r="M9" i="10"/>
  <c r="O9" i="10" s="1"/>
  <c r="M29" i="10"/>
  <c r="AF29" i="10" s="1"/>
  <c r="N11" i="10"/>
  <c r="M16" i="10"/>
  <c r="M18" i="10"/>
  <c r="N30" i="10"/>
  <c r="M22" i="10"/>
  <c r="AF22" i="10" s="1"/>
  <c r="N22" i="10"/>
  <c r="M26" i="10"/>
  <c r="M12" i="10"/>
  <c r="N12" i="10"/>
  <c r="Q12" i="10" s="1"/>
  <c r="N16" i="10"/>
  <c r="N10" i="10"/>
  <c r="M10" i="10"/>
  <c r="AF10" i="10" s="1"/>
  <c r="M13" i="10"/>
  <c r="N20" i="10"/>
  <c r="N21" i="10"/>
  <c r="M19" i="10"/>
  <c r="J5" i="10"/>
  <c r="N33" i="10"/>
  <c r="K17" i="10"/>
  <c r="N28" i="10"/>
  <c r="Q28" i="10" s="1"/>
  <c r="M21" i="10"/>
  <c r="AF21" i="10" s="1"/>
  <c r="M28" i="10"/>
  <c r="M11" i="10"/>
  <c r="M36" i="10"/>
  <c r="AF36" i="10" s="1"/>
  <c r="M14" i="10"/>
  <c r="N24" i="10"/>
  <c r="M23" i="10"/>
  <c r="N14" i="10"/>
  <c r="N23" i="10"/>
  <c r="N25" i="10"/>
  <c r="Q13" i="10"/>
  <c r="AE16" i="10" l="1"/>
  <c r="O18" i="10"/>
  <c r="AE15" i="10"/>
  <c r="AD34" i="10"/>
  <c r="AE34" i="10"/>
  <c r="AF34" i="10"/>
  <c r="O20" i="10"/>
  <c r="O34" i="10"/>
  <c r="W34" i="10"/>
  <c r="Y34" i="10" s="1"/>
  <c r="AD19" i="10"/>
  <c r="AD11" i="10"/>
  <c r="AF25" i="10"/>
  <c r="AD26" i="10"/>
  <c r="W29" i="10"/>
  <c r="Y29" i="10" s="1"/>
  <c r="AE10" i="10"/>
  <c r="AE24" i="10"/>
  <c r="O16" i="10"/>
  <c r="AE36" i="10"/>
  <c r="AE32" i="10"/>
  <c r="Q32" i="10"/>
  <c r="S32" i="10" s="1"/>
  <c r="U32" i="10" s="1"/>
  <c r="AD14" i="10"/>
  <c r="AE12" i="10"/>
  <c r="AF31" i="10"/>
  <c r="Q16" i="10"/>
  <c r="S16" i="10" s="1"/>
  <c r="U16" i="10" s="1"/>
  <c r="W23" i="10"/>
  <c r="Y23" i="10" s="1"/>
  <c r="AD23" i="10"/>
  <c r="W18" i="10"/>
  <c r="Y18" i="10" s="1"/>
  <c r="AD18" i="10"/>
  <c r="Q27" i="10"/>
  <c r="S27" i="10" s="1"/>
  <c r="U27" i="10" s="1"/>
  <c r="AE27" i="10"/>
  <c r="AD15" i="10"/>
  <c r="Q29" i="10"/>
  <c r="S29" i="10" s="1"/>
  <c r="U29" i="10" s="1"/>
  <c r="AE29" i="10"/>
  <c r="W28" i="10"/>
  <c r="Y28" i="10" s="1"/>
  <c r="AD28" i="10"/>
  <c r="Q33" i="10"/>
  <c r="S33" i="10" s="1"/>
  <c r="U33" i="10" s="1"/>
  <c r="Z33" i="10" s="1"/>
  <c r="AE33" i="10"/>
  <c r="Q20" i="10"/>
  <c r="S20" i="10" s="1"/>
  <c r="U20" i="10" s="1"/>
  <c r="Z20" i="10" s="1"/>
  <c r="AE20" i="10"/>
  <c r="Q22" i="10"/>
  <c r="S22" i="10" s="1"/>
  <c r="U22" i="10" s="1"/>
  <c r="AE22" i="10"/>
  <c r="AD16" i="10"/>
  <c r="AD25" i="10"/>
  <c r="W30" i="10"/>
  <c r="Y30" i="10" s="1"/>
  <c r="AD30" i="10"/>
  <c r="AF28" i="10"/>
  <c r="AF11" i="10"/>
  <c r="AD33" i="10"/>
  <c r="AF16" i="10"/>
  <c r="AF19" i="10"/>
  <c r="AF18" i="10"/>
  <c r="AF26" i="10"/>
  <c r="AB17" i="10"/>
  <c r="Q21" i="10"/>
  <c r="S21" i="10" s="1"/>
  <c r="U21" i="10" s="1"/>
  <c r="AE21" i="10"/>
  <c r="AE18" i="10"/>
  <c r="Q23" i="10"/>
  <c r="S23" i="10" s="1"/>
  <c r="U23" i="10" s="1"/>
  <c r="Z23" i="10" s="1"/>
  <c r="AE23" i="10"/>
  <c r="W13" i="10"/>
  <c r="Y13" i="10" s="1"/>
  <c r="AD13" i="10"/>
  <c r="W22" i="10"/>
  <c r="Y22" i="10" s="1"/>
  <c r="AD22" i="10"/>
  <c r="Q11" i="10"/>
  <c r="S11" i="10" s="1"/>
  <c r="U11" i="10" s="1"/>
  <c r="AE11" i="10"/>
  <c r="Q35" i="10"/>
  <c r="S35" i="10" s="1"/>
  <c r="U35" i="10" s="1"/>
  <c r="AE35" i="10"/>
  <c r="Q31" i="10"/>
  <c r="S31" i="10" s="1"/>
  <c r="U31" i="10" s="1"/>
  <c r="Z31" i="10" s="1"/>
  <c r="AE31" i="10"/>
  <c r="W32" i="10"/>
  <c r="Y32" i="10" s="1"/>
  <c r="AD32" i="10"/>
  <c r="AF30" i="10"/>
  <c r="AC17" i="10"/>
  <c r="AF32" i="10"/>
  <c r="AD31" i="10"/>
  <c r="W9" i="10"/>
  <c r="Y9" i="10" s="1"/>
  <c r="Z9" i="10" s="1"/>
  <c r="AD9" i="10"/>
  <c r="AE9" i="10"/>
  <c r="W21" i="10"/>
  <c r="Y21" i="10" s="1"/>
  <c r="AD21" i="10"/>
  <c r="O29" i="10"/>
  <c r="Q25" i="10"/>
  <c r="S25" i="10" s="1"/>
  <c r="U25" i="10" s="1"/>
  <c r="Z25" i="10" s="1"/>
  <c r="AE25" i="10"/>
  <c r="Q14" i="10"/>
  <c r="S14" i="10" s="1"/>
  <c r="U14" i="10" s="1"/>
  <c r="AE14" i="10"/>
  <c r="W36" i="10"/>
  <c r="Y36" i="10" s="1"/>
  <c r="Z36" i="10" s="1"/>
  <c r="AD36" i="10"/>
  <c r="AE28" i="10"/>
  <c r="W10" i="10"/>
  <c r="Y10" i="10" s="1"/>
  <c r="AD10" i="10"/>
  <c r="W12" i="10"/>
  <c r="Y12" i="10" s="1"/>
  <c r="AD12" i="10"/>
  <c r="Q30" i="10"/>
  <c r="S30" i="10" s="1"/>
  <c r="U30" i="10" s="1"/>
  <c r="Z30" i="10" s="1"/>
  <c r="AE30" i="10"/>
  <c r="AD29" i="10"/>
  <c r="W35" i="10"/>
  <c r="Y35" i="10" s="1"/>
  <c r="AD35" i="10"/>
  <c r="W27" i="10"/>
  <c r="Y27" i="10" s="1"/>
  <c r="AD27" i="10"/>
  <c r="W24" i="10"/>
  <c r="Y24" i="10" s="1"/>
  <c r="AD24" i="10"/>
  <c r="AF9" i="10"/>
  <c r="AF23" i="10"/>
  <c r="AF14" i="10"/>
  <c r="AF33" i="10"/>
  <c r="AE13" i="10"/>
  <c r="Q19" i="10"/>
  <c r="S19" i="10" s="1"/>
  <c r="U19" i="10" s="1"/>
  <c r="AE19" i="10"/>
  <c r="AF13" i="10"/>
  <c r="AF12" i="10"/>
  <c r="Q26" i="10"/>
  <c r="S26" i="10" s="1"/>
  <c r="U26" i="10" s="1"/>
  <c r="AE26" i="10"/>
  <c r="AD20" i="10"/>
  <c r="O28" i="10"/>
  <c r="O26" i="10"/>
  <c r="O31" i="10"/>
  <c r="O27" i="10"/>
  <c r="O32" i="10"/>
  <c r="O12" i="10"/>
  <c r="W16" i="10"/>
  <c r="Y16" i="10" s="1"/>
  <c r="O35" i="10"/>
  <c r="W26" i="10"/>
  <c r="Y26" i="10" s="1"/>
  <c r="O11" i="10"/>
  <c r="O33" i="10"/>
  <c r="O19" i="10"/>
  <c r="O24" i="10"/>
  <c r="Q15" i="10"/>
  <c r="S15" i="10" s="1"/>
  <c r="U15" i="10" s="1"/>
  <c r="Z15" i="10" s="1"/>
  <c r="O15" i="10"/>
  <c r="Q24" i="10"/>
  <c r="S24" i="10" s="1"/>
  <c r="U24" i="10" s="1"/>
  <c r="O22" i="10"/>
  <c r="O23" i="10"/>
  <c r="W14" i="10"/>
  <c r="Y14" i="10" s="1"/>
  <c r="W11" i="10"/>
  <c r="Y11" i="10" s="1"/>
  <c r="O13" i="10"/>
  <c r="W19" i="10"/>
  <c r="Y19" i="10" s="1"/>
  <c r="O10" i="10"/>
  <c r="Q10" i="10"/>
  <c r="S10" i="10" s="1"/>
  <c r="O30" i="10"/>
  <c r="N17" i="10"/>
  <c r="K7" i="10"/>
  <c r="K5" i="10" s="1"/>
  <c r="M17" i="10"/>
  <c r="O21" i="10"/>
  <c r="O36" i="10"/>
  <c r="O14" i="10"/>
  <c r="O25" i="10"/>
  <c r="S13" i="10"/>
  <c r="U13" i="10" s="1"/>
  <c r="S28" i="10"/>
  <c r="U28" i="10" s="1"/>
  <c r="S34" i="10"/>
  <c r="U34" i="10" s="1"/>
  <c r="S12" i="10"/>
  <c r="U12" i="10" s="1"/>
  <c r="S18" i="10"/>
  <c r="U18" i="10" s="1"/>
  <c r="Z34" i="10" l="1"/>
  <c r="Z29" i="10"/>
  <c r="Z13" i="10"/>
  <c r="Z22" i="10"/>
  <c r="Z28" i="10"/>
  <c r="Z32" i="10"/>
  <c r="Z21" i="10"/>
  <c r="Z18" i="10"/>
  <c r="Z12" i="10"/>
  <c r="Z27" i="10"/>
  <c r="AD17" i="10"/>
  <c r="M7" i="10" a="1"/>
  <c r="M7" i="10" s="1"/>
  <c r="Z24" i="10"/>
  <c r="Z35" i="10"/>
  <c r="AF17" i="10"/>
  <c r="N5" i="10"/>
  <c r="AE17" i="10"/>
  <c r="Z14" i="10"/>
  <c r="Z16" i="10"/>
  <c r="Z26" i="10"/>
  <c r="Z19" i="10"/>
  <c r="Z11" i="10"/>
  <c r="W17" i="10"/>
  <c r="Y17" i="10" s="1"/>
  <c r="O17" i="10"/>
  <c r="O5" i="10" s="1"/>
  <c r="Q17" i="10"/>
  <c r="U10" i="10"/>
  <c r="Z10" i="10" s="1"/>
  <c r="M5" i="10" l="1"/>
  <c r="Q7" i="10" a="1"/>
  <c r="Q7" i="10" s="1"/>
  <c r="S17" i="10"/>
  <c r="U17" i="10" s="1"/>
  <c r="Z17" i="10" s="1"/>
  <c r="W7" i="10"/>
  <c r="W5" i="10" l="1"/>
  <c r="Y7" i="10"/>
  <c r="Y5" i="10" s="1"/>
  <c r="Q5" i="10"/>
  <c r="S7" i="10"/>
  <c r="S5" i="10" l="1"/>
  <c r="U7" i="10"/>
  <c r="U5" i="10" l="1"/>
  <c r="Z7" i="10"/>
  <c r="Z5" i="10" s="1"/>
</calcChain>
</file>

<file path=xl/connections.xml><?xml version="1.0" encoding="utf-8"?>
<connections xmlns="http://schemas.openxmlformats.org/spreadsheetml/2006/main">
  <connection id="1" odcFile="C:\Users\myohanne\Documents\My Data Sources\caaprd DRIVERS (Theoretical NAV).odc" keepAlive="1" name="caaprd DRIVERS (Theoretical NAV)" type="5" refreshedVersion="4" background="1" saveData="1">
    <dbPr connection="Provider=ftiRSOLEDB.RSOLEDBProvider;Integrated Security=&quot;&quot;;Location=&quot;&quot;;User ID=&quot;&quot;;Initial Catalog=caaprd;Data Source=invsqlpr801;Mode=Read;Persist Security Info=True;Extended Properties=&quot;&quot;" command="&quot;caaprd&quot;§&quot;Waterfall - MB&quot;§&quot;DRIVERS (Theoretical WF) - NAV &quot;" commandType="3"/>
  </connection>
  <connection id="2" odcFile="C:\Users\myohanne\Documents\My Data Sources\caaprd DRIVERS (Theoretical WF) - Contributions by Date.odc" keepAlive="1" name="caaprd DRIVERS (Theoretical WF) - Contributions by Date" type="5" refreshedVersion="4" background="1" saveData="1">
    <dbPr connection="Provider=ftiRSOLEDB.RSOLEDBProvider;Integrated Security=&quot;&quot;;Location=&quot;&quot;;User ID=&quot;&quot;;Initial Catalog=caaprd;Data Source=invsqlpr801;Mode=Read;Persist Security Info=True;Extended Properties=&quot;&quot;" command="&quot;caaprd&quot;§&quot;Waterfall - MB&quot;§&quot;DRIVERS (Theoretical WF) - Contributions by Date&quot;" commandType="3"/>
  </connection>
</connections>
</file>

<file path=xl/sharedStrings.xml><?xml version="1.0" encoding="utf-8"?>
<sst xmlns="http://schemas.openxmlformats.org/spreadsheetml/2006/main" count="1796" uniqueCount="101">
  <si>
    <t>Investor</t>
  </si>
  <si>
    <t>Investor Common ID</t>
  </si>
  <si>
    <t>Investor Type</t>
  </si>
  <si>
    <t>GP</t>
  </si>
  <si>
    <t>LP</t>
  </si>
  <si>
    <t>Investor ID</t>
  </si>
  <si>
    <t>Total</t>
  </si>
  <si>
    <t>AT Parameters:</t>
  </si>
  <si>
    <t>Sample Value</t>
  </si>
  <si>
    <t>Description</t>
  </si>
  <si>
    <t>Reporting Group</t>
  </si>
  <si>
    <t>Legal Entity Group for which AT will run</t>
  </si>
  <si>
    <t>Distribution Date</t>
  </si>
  <si>
    <t>Sets GL Date of distribution</t>
  </si>
  <si>
    <t>Measurement Date</t>
  </si>
  <si>
    <t>Sets Effective Date of distribution</t>
  </si>
  <si>
    <t>Output desired</t>
  </si>
  <si>
    <t>Reallocation</t>
  </si>
  <si>
    <t>Distribution or Reallocation</t>
  </si>
  <si>
    <t>Distribution Transtype Offset</t>
  </si>
  <si>
    <t>Cash Disbursed</t>
  </si>
  <si>
    <t>User will select the Non-dominant transtype for the Distribution JE (Cash, A/P, etc.) - DROPDOWN</t>
  </si>
  <si>
    <t>Distribution Amount</t>
  </si>
  <si>
    <t>SUMMARY:</t>
  </si>
  <si>
    <t xml:space="preserve">1.  The Waterfall AT will be executed whenever cash needs to be distributed or at a Capital Account measurement date.  The AT's parameter, "Output Desired", determines the journal entries that the AT will create.  When set to "Actual Distribution", the AT will generate a Distribution Journal Entry.  When set to "Hypothetical", the AT will reallocate LTD P&amp;L (excluding management fees) as of the measurement date (on a Deal by Deal basis).  This will ensure that income on the capital account statements is allocated in accordance to the fund's carry status.
</t>
  </si>
  <si>
    <t>Preferred Return</t>
  </si>
  <si>
    <t>GP Catch-up</t>
  </si>
  <si>
    <t>Final Split</t>
  </si>
  <si>
    <t>Reporting Group:</t>
  </si>
  <si>
    <t>Capital Contributions</t>
  </si>
  <si>
    <t>A</t>
  </si>
  <si>
    <t>B</t>
  </si>
  <si>
    <t>Fund Family</t>
  </si>
  <si>
    <t>Alternate Investor Name</t>
  </si>
  <si>
    <t>PEQ #</t>
  </si>
  <si>
    <t>Investor Commitments</t>
  </si>
  <si>
    <t>Investor: Total Invested</t>
  </si>
  <si>
    <t>Investor: Total Distributions</t>
  </si>
  <si>
    <t>Investor: Remaining Value</t>
  </si>
  <si>
    <t>Book Capital</t>
  </si>
  <si>
    <t>Investment Other Inc/(Exp)</t>
  </si>
  <si>
    <t>Gains/(Losses)</t>
  </si>
  <si>
    <t>Non-Portfolio P&amp;L Activity</t>
  </si>
  <si>
    <t>Accumulated Earnings</t>
  </si>
  <si>
    <t>Waterfall Allocation</t>
  </si>
  <si>
    <t>Preferred Return Rate:</t>
  </si>
  <si>
    <t>GP Catch-up %:</t>
  </si>
  <si>
    <t>GP Catch-up Split %:</t>
  </si>
  <si>
    <t>GP Carry %:</t>
  </si>
  <si>
    <t>Check</t>
  </si>
  <si>
    <t>GP / LP</t>
  </si>
  <si>
    <t>Theoretical Net Asset Value (Pre-Carried Interest Allocation)</t>
  </si>
  <si>
    <t>Theoretical Net Asset Value (Post-Carried Interest Allocation)</t>
  </si>
  <si>
    <t>Theoretical NAV</t>
  </si>
  <si>
    <t>Less: Distribution</t>
  </si>
  <si>
    <t>Actual NAV</t>
  </si>
  <si>
    <t>Carried Interest</t>
  </si>
  <si>
    <t>GP Catch-up %</t>
  </si>
  <si>
    <t>Carried Interest Checks</t>
  </si>
  <si>
    <t>Partners' Capital Contributions</t>
  </si>
  <si>
    <t>GL Date</t>
  </si>
  <si>
    <t>Pref Period in Years</t>
  </si>
  <si>
    <t>Cumulative</t>
  </si>
  <si>
    <t>Carried Interest Allocation</t>
  </si>
  <si>
    <t>Syndication Costs</t>
  </si>
  <si>
    <t>Less:</t>
  </si>
  <si>
    <t>Carry booked previously</t>
  </si>
  <si>
    <t>Net Carry to Book</t>
  </si>
  <si>
    <t>Investor GP</t>
  </si>
  <si>
    <t>Investor #1</t>
  </si>
  <si>
    <t>Investor #2</t>
  </si>
  <si>
    <t>Investor #3</t>
  </si>
  <si>
    <t>Investor #4</t>
  </si>
  <si>
    <t>Investor #5</t>
  </si>
  <si>
    <t>Investor #6</t>
  </si>
  <si>
    <t>Investor #7</t>
  </si>
  <si>
    <t>Investor #8</t>
  </si>
  <si>
    <t>Investor #9</t>
  </si>
  <si>
    <t>Investor #10</t>
  </si>
  <si>
    <t>Investor #11</t>
  </si>
  <si>
    <t>Investor #12</t>
  </si>
  <si>
    <t>Investor #13</t>
  </si>
  <si>
    <t>Investor #14</t>
  </si>
  <si>
    <t>Investor #15</t>
  </si>
  <si>
    <t>Investor #16</t>
  </si>
  <si>
    <t>Investor #17</t>
  </si>
  <si>
    <t>Investor #18</t>
  </si>
  <si>
    <t>Investor #19</t>
  </si>
  <si>
    <t>Investor #20</t>
  </si>
  <si>
    <t>Investor #21</t>
  </si>
  <si>
    <t>Investor #22</t>
  </si>
  <si>
    <t>Investor #23</t>
  </si>
  <si>
    <t>Investor #24</t>
  </si>
  <si>
    <t>Investor #25</t>
  </si>
  <si>
    <t>Investor #26</t>
  </si>
  <si>
    <t>Investor #27</t>
  </si>
  <si>
    <t>Investor #28</t>
  </si>
  <si>
    <t>Accumulated Earnings, gross of Carried Interest</t>
  </si>
  <si>
    <t>Accumulated Earnings, gross of Carried Interest and net of Syndication Costs</t>
  </si>
  <si>
    <t>Demo Private Equity Fund</t>
  </si>
  <si>
    <t>Period End Date: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</si>
</sst>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mm/dd/yyyy"/>
  </numFmts>
  <fonts count="20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10"/>
      <name val="Arial"/>
      <family val="2"/>
    </font>
    <font>
      <sz val="10"/>
      <name val="Times New Roman"/>
      <family val="1"/>
    </font>
    <font>
      <b/>
      <sz val="10"/>
      <name val="Times New Roman"/>
      <family val="1"/>
    </font>
    <font>
      <b/>
      <sz val="10"/>
      <color rgb="FFFF0000"/>
      <name val="Times New Roman"/>
      <family val="1"/>
    </font>
    <font>
      <b/>
      <sz val="11"/>
      <name val="Times New Roman"/>
      <family val="1"/>
    </font>
    <font>
      <sz val="11"/>
      <name val="Times New Roman"/>
      <family val="1"/>
    </font>
    <font>
      <b/>
      <sz val="12"/>
      <name val="Times New Roman"/>
      <family val="1"/>
    </font>
    <font>
      <b/>
      <sz val="12"/>
      <color theme="0"/>
      <name val="Times New Roman"/>
      <family val="1"/>
    </font>
    <font>
      <b/>
      <sz val="16"/>
      <color theme="0"/>
      <name val="Times New Roman"/>
      <family val="1"/>
    </font>
    <font>
      <b/>
      <sz val="14"/>
      <color theme="0"/>
      <name val="Times New Roman"/>
      <family val="1"/>
    </font>
    <font>
      <sz val="11"/>
      <color indexed="8"/>
      <name val="Times New Roman"/>
      <family val="1"/>
    </font>
    <font>
      <b/>
      <sz val="12"/>
      <color indexed="8"/>
      <name val="Times New Roman"/>
      <family val="1"/>
    </font>
    <font>
      <b/>
      <sz val="11"/>
      <color indexed="8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gradientFill degree="90">
        <stop position="0">
          <color theme="0"/>
        </stop>
        <stop position="1">
          <color theme="0" tint="-0.1490218817712943"/>
        </stop>
      </gradientFill>
    </fill>
    <fill>
      <patternFill patternType="solid">
        <fgColor theme="4" tint="0.59999389629810485"/>
        <bgColor auto="1"/>
      </patternFill>
    </fill>
    <fill>
      <patternFill patternType="solid">
        <fgColor theme="0" tint="-0.49998474074526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theme="0"/>
      </left>
      <right/>
      <top/>
      <bottom style="thin">
        <color theme="0" tint="-0.14996795556505021"/>
      </bottom>
      <diagonal/>
    </border>
    <border>
      <left/>
      <right style="thick">
        <color theme="0"/>
      </right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indexed="64"/>
      </top>
      <bottom style="thick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n">
        <color theme="0" tint="-0.14996795556505021"/>
      </right>
      <top style="thin">
        <color indexed="64"/>
      </top>
      <bottom style="thick">
        <color theme="0"/>
      </bottom>
      <diagonal/>
    </border>
    <border>
      <left style="thin">
        <color theme="0" tint="-0.14996795556505021"/>
      </left>
      <right style="thick">
        <color theme="0"/>
      </right>
      <top style="thin">
        <color indexed="64"/>
      </top>
      <bottom style="thick">
        <color theme="0"/>
      </bottom>
      <diagonal/>
    </border>
    <border>
      <left style="thick">
        <color theme="0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ck">
        <color theme="0"/>
      </right>
      <top style="thin">
        <color indexed="64"/>
      </top>
      <bottom style="thin">
        <color indexed="64"/>
      </bottom>
      <diagonal/>
    </border>
    <border>
      <left style="thick">
        <color theme="0"/>
      </left>
      <right style="thin">
        <color theme="0" tint="-0.14996795556505021"/>
      </right>
      <top style="thin">
        <color indexed="64"/>
      </top>
      <bottom style="thin">
        <color theme="0" tint="-0.14996795556505021"/>
      </bottom>
      <diagonal/>
    </border>
    <border>
      <left style="thin">
        <color theme="0" tint="-0.14996795556505021"/>
      </left>
      <right style="thick">
        <color theme="0"/>
      </right>
      <top style="thin">
        <color indexed="64"/>
      </top>
      <bottom style="thin">
        <color theme="0" tint="-0.14996795556505021"/>
      </bottom>
      <diagonal/>
    </border>
    <border>
      <left style="thick">
        <color theme="0"/>
      </left>
      <right style="thick">
        <color theme="0"/>
      </right>
      <top style="thin">
        <color theme="0" tint="-0.14996795556505021"/>
      </top>
      <bottom/>
      <diagonal/>
    </border>
    <border>
      <left style="thick">
        <color theme="0"/>
      </left>
      <right/>
      <top style="thin">
        <color theme="0" tint="-0.14996795556505021"/>
      </top>
      <bottom/>
      <diagonal/>
    </border>
    <border>
      <left/>
      <right style="thick">
        <color theme="0"/>
      </right>
      <top style="thin">
        <color theme="0" tint="-0.14996795556505021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auto="1"/>
      </top>
      <bottom style="medium">
        <color auto="1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8">
    <xf numFmtId="0" fontId="0" fillId="0" borderId="0" xfId="0"/>
    <xf numFmtId="0" fontId="3" fillId="0" borderId="0" xfId="0" applyFont="1"/>
    <xf numFmtId="0" fontId="4" fillId="0" borderId="0" xfId="0" applyFont="1"/>
    <xf numFmtId="11" fontId="5" fillId="2" borderId="1" xfId="0" quotePrefix="1" applyNumberFormat="1" applyFont="1" applyFill="1" applyBorder="1" applyAlignment="1">
      <alignment horizontal="left" vertical="top" wrapText="1"/>
    </xf>
    <xf numFmtId="10" fontId="6" fillId="2" borderId="1" xfId="0" applyNumberFormat="1" applyFont="1" applyFill="1" applyBorder="1" applyAlignment="1">
      <alignment horizontal="left" vertical="top" wrapText="1"/>
    </xf>
    <xf numFmtId="11" fontId="5" fillId="2" borderId="1" xfId="0" applyNumberFormat="1" applyFont="1" applyFill="1" applyBorder="1" applyAlignment="1">
      <alignment horizontal="left" vertical="top" wrapText="1"/>
    </xf>
    <xf numFmtId="14" fontId="6" fillId="2" borderId="1" xfId="0" applyNumberFormat="1" applyFont="1" applyFill="1" applyBorder="1" applyAlignment="1">
      <alignment horizontal="left" vertical="top" wrapText="1"/>
    </xf>
    <xf numFmtId="11" fontId="6" fillId="2" borderId="1" xfId="0" applyNumberFormat="1" applyFont="1" applyFill="1" applyBorder="1" applyAlignment="1">
      <alignment horizontal="left" vertical="top" wrapText="1"/>
    </xf>
    <xf numFmtId="11" fontId="6" fillId="0" borderId="0" xfId="0" applyNumberFormat="1" applyFont="1" applyBorder="1" applyAlignment="1">
      <alignment horizontal="left" vertical="top" wrapText="1"/>
    </xf>
    <xf numFmtId="0" fontId="4" fillId="0" borderId="0" xfId="0" quotePrefix="1" applyFont="1" applyBorder="1" applyAlignment="1">
      <alignment horizontal="left" vertical="top" wrapText="1"/>
    </xf>
    <xf numFmtId="0" fontId="7" fillId="0" borderId="0" xfId="0" applyFont="1" applyBorder="1" applyAlignment="1">
      <alignment horizontal="left" vertical="top" wrapText="1"/>
    </xf>
    <xf numFmtId="0" fontId="8" fillId="0" borderId="0" xfId="0" applyFont="1" applyBorder="1"/>
    <xf numFmtId="0" fontId="8" fillId="0" borderId="0" xfId="0" applyFont="1"/>
    <xf numFmtId="0" fontId="10" fillId="0" borderId="8" xfId="0" applyNumberFormat="1" applyFont="1" applyBorder="1" applyAlignment="1">
      <alignment horizontal="center" wrapText="1"/>
    </xf>
    <xf numFmtId="0" fontId="13" fillId="7" borderId="9" xfId="0" applyNumberFormat="1" applyFont="1" applyFill="1" applyBorder="1" applyAlignment="1">
      <alignment vertical="center"/>
    </xf>
    <xf numFmtId="0" fontId="13" fillId="6" borderId="9" xfId="0" applyNumberFormat="1" applyFont="1" applyFill="1" applyBorder="1" applyAlignment="1">
      <alignment horizontal="left" vertical="center"/>
    </xf>
    <xf numFmtId="164" fontId="13" fillId="6" borderId="9" xfId="0" applyNumberFormat="1" applyFont="1" applyFill="1" applyBorder="1" applyAlignment="1">
      <alignment horizontal="right" vertical="center"/>
    </xf>
    <xf numFmtId="14" fontId="13" fillId="6" borderId="9" xfId="0" applyNumberFormat="1" applyFont="1" applyFill="1" applyBorder="1" applyAlignment="1">
      <alignment horizontal="right" vertical="center"/>
    </xf>
    <xf numFmtId="0" fontId="15" fillId="4" borderId="12" xfId="0" applyFont="1" applyFill="1" applyBorder="1" applyAlignment="1">
      <alignment horizontal="centerContinuous" vertical="center"/>
    </xf>
    <xf numFmtId="0" fontId="15" fillId="4" borderId="13" xfId="0" applyFont="1" applyFill="1" applyBorder="1" applyAlignment="1">
      <alignment horizontal="centerContinuous" vertical="center"/>
    </xf>
    <xf numFmtId="0" fontId="14" fillId="4" borderId="10" xfId="0" applyFont="1" applyFill="1" applyBorder="1" applyAlignment="1">
      <alignment horizontal="centerContinuous"/>
    </xf>
    <xf numFmtId="0" fontId="14" fillId="4" borderId="11" xfId="0" applyFont="1" applyFill="1" applyBorder="1" applyAlignment="1">
      <alignment horizontal="centerContinuous"/>
    </xf>
    <xf numFmtId="0" fontId="15" fillId="4" borderId="7" xfId="0" applyFont="1" applyFill="1" applyBorder="1" applyAlignment="1">
      <alignment horizontal="centerContinuous"/>
    </xf>
    <xf numFmtId="0" fontId="14" fillId="4" borderId="14" xfId="0" applyFont="1" applyFill="1" applyBorder="1"/>
    <xf numFmtId="0" fontId="15" fillId="4" borderId="17" xfId="0" applyFont="1" applyFill="1" applyBorder="1" applyAlignment="1">
      <alignment horizontal="centerContinuous" vertical="center"/>
    </xf>
    <xf numFmtId="0" fontId="15" fillId="4" borderId="19" xfId="0" applyFont="1" applyFill="1" applyBorder="1" applyAlignment="1">
      <alignment horizontal="centerContinuous"/>
    </xf>
    <xf numFmtId="0" fontId="10" fillId="0" borderId="20" xfId="0" applyNumberFormat="1" applyFont="1" applyBorder="1" applyAlignment="1">
      <alignment horizontal="center" wrapText="1"/>
    </xf>
    <xf numFmtId="0" fontId="10" fillId="0" borderId="21" xfId="0" applyNumberFormat="1" applyFont="1" applyBorder="1" applyAlignment="1">
      <alignment horizontal="center" wrapText="1"/>
    </xf>
    <xf numFmtId="0" fontId="8" fillId="8" borderId="22" xfId="0" applyFont="1" applyFill="1" applyBorder="1"/>
    <xf numFmtId="0" fontId="8" fillId="8" borderId="15" xfId="0" applyFont="1" applyFill="1" applyBorder="1"/>
    <xf numFmtId="0" fontId="16" fillId="4" borderId="18" xfId="0" applyFont="1" applyFill="1" applyBorder="1" applyAlignment="1">
      <alignment horizontal="centerContinuous" wrapText="1"/>
    </xf>
    <xf numFmtId="0" fontId="16" fillId="4" borderId="16" xfId="0" applyFont="1" applyFill="1" applyBorder="1" applyAlignment="1">
      <alignment horizontal="centerContinuous" vertical="center"/>
    </xf>
    <xf numFmtId="0" fontId="16" fillId="4" borderId="16" xfId="0" applyFont="1" applyFill="1" applyBorder="1" applyAlignment="1">
      <alignment horizontal="centerContinuous" vertical="center" wrapText="1"/>
    </xf>
    <xf numFmtId="0" fontId="15" fillId="4" borderId="12" xfId="0" applyFont="1" applyFill="1" applyBorder="1" applyAlignment="1">
      <alignment horizontal="centerContinuous" vertical="center" wrapText="1"/>
    </xf>
    <xf numFmtId="44" fontId="12" fillId="8" borderId="6" xfId="2" applyFont="1" applyFill="1" applyBorder="1" applyAlignment="1">
      <alignment wrapText="1"/>
    </xf>
    <xf numFmtId="0" fontId="14" fillId="4" borderId="0" xfId="0" applyFont="1" applyFill="1" applyBorder="1" applyAlignment="1">
      <alignment horizontal="center"/>
    </xf>
    <xf numFmtId="0" fontId="15" fillId="4" borderId="13" xfId="0" applyFont="1" applyFill="1" applyBorder="1" applyAlignment="1">
      <alignment horizontal="centerContinuous" vertical="center" wrapText="1"/>
    </xf>
    <xf numFmtId="0" fontId="14" fillId="4" borderId="14" xfId="0" applyFont="1" applyFill="1" applyBorder="1" applyAlignment="1">
      <alignment horizontal="center"/>
    </xf>
    <xf numFmtId="0" fontId="8" fillId="0" borderId="0" xfId="1" applyNumberFormat="1" applyFont="1" applyBorder="1"/>
    <xf numFmtId="165" fontId="8" fillId="0" borderId="0" xfId="1" applyNumberFormat="1" applyFont="1" applyBorder="1" applyAlignment="1">
      <alignment horizontal="center"/>
    </xf>
    <xf numFmtId="164" fontId="9" fillId="0" borderId="0" xfId="3" applyNumberFormat="1" applyFont="1" applyBorder="1" applyAlignment="1">
      <alignment horizontal="center"/>
    </xf>
    <xf numFmtId="164" fontId="9" fillId="0" borderId="0" xfId="3" applyNumberFormat="1" applyFont="1" applyBorder="1" applyAlignment="1">
      <alignment horizontal="left"/>
    </xf>
    <xf numFmtId="164" fontId="10" fillId="0" borderId="0" xfId="3" applyNumberFormat="1" applyFont="1" applyBorder="1" applyAlignment="1">
      <alignment horizontal="center" vertical="top" wrapText="1"/>
    </xf>
    <xf numFmtId="165" fontId="8" fillId="0" borderId="0" xfId="1" applyNumberFormat="1" applyFont="1" applyBorder="1"/>
    <xf numFmtId="0" fontId="14" fillId="4" borderId="0" xfId="1" quotePrefix="1" applyNumberFormat="1" applyFont="1" applyFill="1" applyBorder="1" applyAlignment="1">
      <alignment horizontal="center" wrapText="1"/>
    </xf>
    <xf numFmtId="0" fontId="14" fillId="4" borderId="0" xfId="1" applyNumberFormat="1" applyFont="1" applyFill="1" applyBorder="1" applyAlignment="1">
      <alignment horizontal="center" wrapText="1"/>
    </xf>
    <xf numFmtId="49" fontId="18" fillId="3" borderId="0" xfId="0" applyNumberFormat="1" applyFont="1" applyFill="1" applyBorder="1" applyAlignment="1"/>
    <xf numFmtId="49" fontId="18" fillId="3" borderId="0" xfId="0" applyNumberFormat="1" applyFont="1" applyFill="1" applyBorder="1" applyAlignment="1">
      <alignment horizontal="center" wrapText="1"/>
    </xf>
    <xf numFmtId="0" fontId="18" fillId="3" borderId="0" xfId="0" applyNumberFormat="1" applyFont="1" applyFill="1" applyBorder="1" applyAlignment="1">
      <alignment horizontal="center" wrapText="1"/>
    </xf>
    <xf numFmtId="0" fontId="18" fillId="3" borderId="0" xfId="0" applyNumberFormat="1" applyFont="1" applyFill="1" applyBorder="1" applyAlignment="1">
      <alignment wrapText="1"/>
    </xf>
    <xf numFmtId="44" fontId="17" fillId="0" borderId="0" xfId="2" applyFont="1" applyBorder="1" applyAlignment="1">
      <alignment wrapText="1"/>
    </xf>
    <xf numFmtId="43" fontId="17" fillId="0" borderId="0" xfId="0" applyNumberFormat="1" applyFont="1" applyBorder="1" applyAlignment="1">
      <alignment wrapText="1"/>
    </xf>
    <xf numFmtId="165" fontId="12" fillId="0" borderId="0" xfId="1" applyNumberFormat="1" applyFont="1" applyBorder="1"/>
    <xf numFmtId="49" fontId="17" fillId="0" borderId="0" xfId="0" applyNumberFormat="1" applyFont="1" applyBorder="1" applyAlignment="1"/>
    <xf numFmtId="49" fontId="17" fillId="0" borderId="0" xfId="0" applyNumberFormat="1" applyFont="1" applyBorder="1" applyAlignment="1">
      <alignment horizontal="center" wrapText="1"/>
    </xf>
    <xf numFmtId="0" fontId="17" fillId="0" borderId="0" xfId="0" applyNumberFormat="1" applyFont="1" applyBorder="1" applyAlignment="1">
      <alignment horizontal="center" wrapText="1"/>
    </xf>
    <xf numFmtId="0" fontId="17" fillId="0" borderId="0" xfId="0" applyNumberFormat="1" applyFont="1" applyBorder="1" applyAlignment="1">
      <alignment wrapText="1"/>
    </xf>
    <xf numFmtId="44" fontId="12" fillId="0" borderId="0" xfId="2" applyFont="1" applyBorder="1" applyAlignment="1">
      <alignment wrapText="1"/>
    </xf>
    <xf numFmtId="44" fontId="11" fillId="0" borderId="0" xfId="2" applyFont="1" applyBorder="1" applyAlignment="1">
      <alignment wrapText="1"/>
    </xf>
    <xf numFmtId="44" fontId="12" fillId="8" borderId="0" xfId="2" applyFont="1" applyFill="1" applyBorder="1" applyAlignment="1">
      <alignment wrapText="1"/>
    </xf>
    <xf numFmtId="164" fontId="12" fillId="0" borderId="0" xfId="3" applyNumberFormat="1" applyFont="1" applyBorder="1" applyAlignment="1">
      <alignment wrapText="1"/>
    </xf>
    <xf numFmtId="43" fontId="12" fillId="0" borderId="0" xfId="1" applyNumberFormat="1" applyFont="1" applyBorder="1" applyAlignment="1">
      <alignment wrapText="1"/>
    </xf>
    <xf numFmtId="43" fontId="11" fillId="0" borderId="0" xfId="2" applyNumberFormat="1" applyFont="1" applyBorder="1" applyAlignment="1">
      <alignment wrapText="1"/>
    </xf>
    <xf numFmtId="43" fontId="12" fillId="0" borderId="0" xfId="2" applyNumberFormat="1" applyFont="1" applyBorder="1" applyAlignment="1">
      <alignment wrapText="1"/>
    </xf>
    <xf numFmtId="0" fontId="14" fillId="4" borderId="22" xfId="0" applyNumberFormat="1" applyFont="1" applyFill="1" applyBorder="1" applyAlignment="1">
      <alignment horizontal="center" wrapText="1"/>
    </xf>
    <xf numFmtId="0" fontId="9" fillId="8" borderId="15" xfId="0" applyFont="1" applyFill="1" applyBorder="1" applyAlignment="1">
      <alignment horizontal="center"/>
    </xf>
    <xf numFmtId="0" fontId="14" fillId="4" borderId="15" xfId="0" applyFont="1" applyFill="1" applyBorder="1" applyAlignment="1">
      <alignment horizontal="center" wrapText="1"/>
    </xf>
    <xf numFmtId="0" fontId="14" fillId="4" borderId="23" xfId="0" applyFont="1" applyFill="1" applyBorder="1" applyAlignment="1">
      <alignment horizontal="center"/>
    </xf>
    <xf numFmtId="0" fontId="14" fillId="4" borderId="24" xfId="0" applyFont="1" applyFill="1" applyBorder="1" applyAlignment="1">
      <alignment horizontal="center"/>
    </xf>
    <xf numFmtId="0" fontId="14" fillId="4" borderId="15" xfId="0" applyFont="1" applyFill="1" applyBorder="1" applyAlignment="1">
      <alignment horizontal="center"/>
    </xf>
    <xf numFmtId="49" fontId="17" fillId="0" borderId="0" xfId="0" applyNumberFormat="1" applyFont="1" applyFill="1" applyBorder="1" applyAlignment="1"/>
    <xf numFmtId="49" fontId="17" fillId="0" borderId="0" xfId="0" applyNumberFormat="1" applyFont="1" applyFill="1" applyBorder="1" applyAlignment="1">
      <alignment horizontal="center" wrapText="1"/>
    </xf>
    <xf numFmtId="0" fontId="17" fillId="0" borderId="0" xfId="0" applyNumberFormat="1" applyFont="1" applyFill="1" applyBorder="1" applyAlignment="1">
      <alignment horizontal="center" wrapText="1"/>
    </xf>
    <xf numFmtId="0" fontId="17" fillId="0" borderId="0" xfId="0" applyNumberFormat="1" applyFont="1" applyFill="1" applyBorder="1" applyAlignment="1">
      <alignment wrapText="1"/>
    </xf>
    <xf numFmtId="43" fontId="12" fillId="0" borderId="0" xfId="1" applyFont="1" applyFill="1" applyBorder="1" applyAlignment="1">
      <alignment wrapText="1"/>
    </xf>
    <xf numFmtId="44" fontId="11" fillId="0" borderId="0" xfId="2" applyFont="1" applyFill="1" applyBorder="1" applyAlignment="1">
      <alignment vertical="center" wrapText="1"/>
    </xf>
    <xf numFmtId="44" fontId="12" fillId="0" borderId="0" xfId="2" applyFont="1" applyFill="1" applyBorder="1" applyAlignment="1">
      <alignment vertical="center" wrapText="1"/>
    </xf>
    <xf numFmtId="165" fontId="12" fillId="0" borderId="0" xfId="1" applyNumberFormat="1" applyFont="1" applyFill="1" applyBorder="1"/>
    <xf numFmtId="44" fontId="11" fillId="3" borderId="25" xfId="2" applyFont="1" applyFill="1" applyBorder="1" applyAlignment="1">
      <alignment wrapText="1"/>
    </xf>
    <xf numFmtId="44" fontId="12" fillId="0" borderId="26" xfId="2" applyFont="1" applyBorder="1" applyAlignment="1">
      <alignment wrapText="1"/>
    </xf>
    <xf numFmtId="44" fontId="11" fillId="0" borderId="26" xfId="2" applyFont="1" applyBorder="1" applyAlignment="1">
      <alignment wrapText="1"/>
    </xf>
    <xf numFmtId="44" fontId="12" fillId="8" borderId="26" xfId="2" applyFont="1" applyFill="1" applyBorder="1" applyAlignment="1">
      <alignment wrapText="1"/>
    </xf>
    <xf numFmtId="49" fontId="19" fillId="0" borderId="0" xfId="0" applyNumberFormat="1" applyFont="1" applyBorder="1" applyAlignment="1"/>
    <xf numFmtId="49" fontId="19" fillId="0" borderId="0" xfId="0" applyNumberFormat="1" applyFont="1" applyBorder="1" applyAlignment="1">
      <alignment horizontal="center" wrapText="1"/>
    </xf>
    <xf numFmtId="0" fontId="19" fillId="0" borderId="0" xfId="0" applyNumberFormat="1" applyFont="1" applyBorder="1" applyAlignment="1">
      <alignment horizontal="center" wrapText="1"/>
    </xf>
    <xf numFmtId="0" fontId="11" fillId="0" borderId="0" xfId="0" applyFont="1" applyAlignment="1">
      <alignment wrapText="1"/>
    </xf>
    <xf numFmtId="0" fontId="11" fillId="0" borderId="0" xfId="0" applyFont="1" applyAlignment="1">
      <alignment horizontal="center" wrapText="1"/>
    </xf>
    <xf numFmtId="0" fontId="11" fillId="5" borderId="0" xfId="0" applyFont="1" applyFill="1" applyAlignment="1">
      <alignment horizontal="center" wrapText="1"/>
    </xf>
    <xf numFmtId="0" fontId="12" fillId="0" borderId="0" xfId="0" applyFont="1"/>
    <xf numFmtId="43" fontId="12" fillId="0" borderId="0" xfId="1" applyFont="1"/>
    <xf numFmtId="0" fontId="12" fillId="0" borderId="0" xfId="0" applyFont="1" applyAlignment="1">
      <alignment horizontal="center"/>
    </xf>
    <xf numFmtId="43" fontId="12" fillId="0" borderId="0" xfId="0" applyNumberFormat="1" applyFont="1"/>
    <xf numFmtId="0" fontId="12" fillId="0" borderId="0" xfId="0" applyFont="1" applyAlignment="1">
      <alignment wrapText="1"/>
    </xf>
    <xf numFmtId="166" fontId="12" fillId="0" borderId="0" xfId="0" applyNumberFormat="1" applyFont="1"/>
    <xf numFmtId="2" fontId="12" fillId="0" borderId="0" xfId="0" applyNumberFormat="1" applyFont="1"/>
    <xf numFmtId="0" fontId="12" fillId="0" borderId="0" xfId="0" applyFont="1" applyAlignment="1">
      <alignment horizontal="center" wrapText="1"/>
    </xf>
    <xf numFmtId="43" fontId="11" fillId="0" borderId="0" xfId="1" applyFont="1"/>
    <xf numFmtId="0" fontId="11" fillId="0" borderId="0" xfId="0" applyFont="1"/>
    <xf numFmtId="49" fontId="17" fillId="0" borderId="0" xfId="0" applyNumberFormat="1" applyFont="1" applyBorder="1" applyAlignment="1">
      <alignment horizontal="left" vertical="top"/>
    </xf>
    <xf numFmtId="0" fontId="11" fillId="0" borderId="0" xfId="0" applyFont="1" applyAlignment="1">
      <alignment horizontal="left" wrapText="1"/>
    </xf>
    <xf numFmtId="0" fontId="12" fillId="0" borderId="0" xfId="0" applyFont="1" applyAlignment="1">
      <alignment horizontal="left"/>
    </xf>
    <xf numFmtId="49" fontId="17" fillId="0" borderId="0" xfId="0" applyNumberFormat="1" applyFont="1" applyBorder="1" applyAlignment="1">
      <alignment horizontal="left"/>
    </xf>
    <xf numFmtId="0" fontId="4" fillId="2" borderId="3" xfId="0" quotePrefix="1" applyFont="1" applyFill="1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11" fontId="6" fillId="0" borderId="2" xfId="1" quotePrefix="1" applyNumberFormat="1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2" borderId="3" xfId="0" applyFont="1" applyFill="1" applyBorder="1" applyAlignment="1">
      <alignment horizontal="left" vertical="top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61">
    <dxf>
      <font>
        <strike val="0"/>
        <outline val="0"/>
        <shadow val="0"/>
        <u val="none"/>
        <vertAlign val="baseline"/>
        <sz val="11"/>
        <color auto="1"/>
        <name val="Times New Roman"/>
        <scheme val="none"/>
      </font>
      <numFmt numFmtId="35" formatCode="_(* #,##0.00_);_(* \(#,##0.00\);_(* &quot;-&quot;??_);_(@_)"/>
    </dxf>
    <dxf>
      <font>
        <strike val="0"/>
        <outline val="0"/>
        <shadow val="0"/>
        <u val="none"/>
        <vertAlign val="baseline"/>
        <sz val="11"/>
        <color auto="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Times New Roman"/>
        <scheme val="none"/>
      </font>
      <numFmt numFmtId="166" formatCode="mm/dd/yyyy"/>
    </dxf>
    <dxf>
      <font>
        <strike val="0"/>
        <outline val="0"/>
        <shadow val="0"/>
        <u val="none"/>
        <vertAlign val="baseline"/>
        <sz val="11"/>
        <color auto="1"/>
        <name val="Times New Roman"/>
        <scheme val="none"/>
      </font>
      <alignment horizontal="center" vertical="bottom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Times New Roman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Times New Roman"/>
        <scheme val="none"/>
      </font>
      <alignment horizontal="center" vertical="bottom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Times New Roman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35" formatCode="_(* #,##0.00_);_(* \(#,##0.00\);_(* &quot;-&quot;??_);_(@_)"/>
    </dxf>
    <dxf>
      <font>
        <strike val="0"/>
        <outline val="0"/>
        <shadow val="0"/>
        <u val="none"/>
        <vertAlign val="baseline"/>
        <sz val="11"/>
        <color auto="1"/>
        <name val="Times New Roman"/>
        <scheme val="none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35" formatCode="_(* #,##0.00_);_(* \(#,##0.00\);_(* &quot;-&quot;??_);_(@_)"/>
    </dxf>
    <dxf>
      <font>
        <strike val="0"/>
        <outline val="0"/>
        <shadow val="0"/>
        <u val="none"/>
        <vertAlign val="baseline"/>
        <sz val="11"/>
        <color auto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35" formatCode="_(* #,##0.00_);_(* \(#,##0.00\);_(* &quot;-&quot;??_);_(@_)"/>
    </dxf>
    <dxf>
      <font>
        <strike val="0"/>
        <outline val="0"/>
        <shadow val="0"/>
        <u val="none"/>
        <vertAlign val="baseline"/>
        <sz val="11"/>
        <color auto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35" formatCode="_(* #,##0.00_);_(* \(#,##0.00\);_(* &quot;-&quot;??_);_(@_)"/>
    </dxf>
    <dxf>
      <font>
        <strike val="0"/>
        <outline val="0"/>
        <shadow val="0"/>
        <u val="none"/>
        <vertAlign val="baseline"/>
        <sz val="11"/>
        <color auto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35" formatCode="_(* #,##0.00_);_(* \(#,##0.00\);_(* &quot;-&quot;??_);_(@_)"/>
    </dxf>
    <dxf>
      <font>
        <strike val="0"/>
        <outline val="0"/>
        <shadow val="0"/>
        <u val="none"/>
        <vertAlign val="baseline"/>
        <sz val="11"/>
        <color auto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35" formatCode="_(* #,##0.00_);_(* \(#,##0.00\);_(* &quot;-&quot;??_);_(@_)"/>
    </dxf>
    <dxf>
      <font>
        <strike val="0"/>
        <outline val="0"/>
        <shadow val="0"/>
        <u val="none"/>
        <vertAlign val="baseline"/>
        <sz val="11"/>
        <color auto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35" formatCode="_(* #,##0.00_);_(* \(#,##0.00\);_(* &quot;-&quot;??_);_(@_)"/>
    </dxf>
    <dxf>
      <font>
        <strike val="0"/>
        <outline val="0"/>
        <shadow val="0"/>
        <u val="none"/>
        <vertAlign val="baseline"/>
        <sz val="11"/>
        <color auto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35" formatCode="_(* #,##0.00_);_(* \(#,##0.00\);_(* &quot;-&quot;??_);_(@_)"/>
    </dxf>
    <dxf>
      <font>
        <strike val="0"/>
        <outline val="0"/>
        <shadow val="0"/>
        <u val="none"/>
        <vertAlign val="baseline"/>
        <sz val="11"/>
        <color auto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35" formatCode="_(* #,##0.00_);_(* \(#,##0.00\);_(* &quot;-&quot;??_);_(@_)"/>
    </dxf>
    <dxf>
      <font>
        <strike val="0"/>
        <outline val="0"/>
        <shadow val="0"/>
        <u val="none"/>
        <vertAlign val="baseline"/>
        <sz val="11"/>
        <color auto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Times New Roman"/>
        <scheme val="none"/>
      </font>
      <alignment horizontal="left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Times New Roman"/>
        <scheme val="none"/>
      </font>
    </dxf>
    <dxf>
      <font>
        <b/>
        <strike val="0"/>
        <outline val="0"/>
        <shadow val="0"/>
        <u val="none"/>
        <vertAlign val="baseline"/>
        <sz val="11"/>
        <color auto="1"/>
        <name val="Times New Roman"/>
        <scheme val="none"/>
      </font>
      <alignment horizontal="general" vertical="bottom" textRotation="0" wrapText="1" indent="0" justifyLastLine="0" shrinkToFit="0" readingOrder="0"/>
    </dxf>
    <dxf>
      <fill>
        <patternFill>
          <bgColor theme="4" tint="0.59996337778862885"/>
        </patternFill>
      </fill>
      <border>
        <bottom style="thin">
          <color theme="0"/>
        </bottom>
      </border>
    </dxf>
    <dxf>
      <fill>
        <patternFill>
          <bgColor theme="4" tint="0.79998168889431442"/>
        </patternFill>
      </fill>
      <border>
        <bottom style="thin">
          <color theme="0"/>
        </bottom>
      </border>
    </dxf>
    <dxf>
      <font>
        <b/>
        <i val="0"/>
        <color theme="0"/>
      </font>
      <fill>
        <patternFill>
          <bgColor theme="4" tint="-0.24994659260841701"/>
        </patternFill>
      </fill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theme="4" tint="-0.499984740745262"/>
        </patternFill>
      </fill>
      <border>
        <bottom/>
      </border>
    </dxf>
    <dxf>
      <fill>
        <patternFill>
          <bgColor theme="4" tint="-0.24994659260841701"/>
        </patternFill>
      </fill>
    </dxf>
  </dxfs>
  <tableStyles count="2" defaultTableStyle="Table Style 2" defaultPivotStyle="PivotStyleLight16">
    <tableStyle name="Table Style 1" pivot="0" count="1">
      <tableStyleElement type="totalRow" dxfId="60"/>
    </tableStyle>
    <tableStyle name="Table Style 2" pivot="0" count="4">
      <tableStyleElement type="headerRow" dxfId="59"/>
      <tableStyleElement type="totalRow" dxfId="58"/>
      <tableStyleElement type="firstRowStripe" dxfId="57"/>
      <tableStyleElement type="secondRowStripe" dxfId="5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name="caaprd DRIVERS (Theoretical NAV)" adjustColumnWidth="0" connectionId="1" autoFormatId="16" applyNumberFormats="0" applyBorderFormats="0" applyFontFormats="0" applyPatternFormats="0" applyAlignmentFormats="0" applyWidthHeightFormats="0">
  <queryTableRefresh nextId="32" unboundColumnsRight="1">
    <queryTableFields count="20">
      <queryTableField id="1" name="Fund Family" tableColumnId="1"/>
      <queryTableField id="13" name="Reporting Group" tableColumnId="2"/>
      <queryTableField id="3" name="Investor" tableColumnId="3"/>
      <queryTableField id="4" name="Investor Type" tableColumnId="4"/>
      <queryTableField id="5" name="Alternate Investor Name" tableColumnId="5"/>
      <queryTableField id="6" name="PEQ #" tableColumnId="6"/>
      <queryTableField id="7" name="Investor Common ID" tableColumnId="7"/>
      <queryTableField id="8" name="Investor Commitments" tableColumnId="8"/>
      <queryTableField id="9" name="Investor: Total Invested" tableColumnId="9"/>
      <queryTableField id="10" name="Investor: Total Distributions" tableColumnId="10"/>
      <queryTableField id="11" name="Investor: Remaining Value" tableColumnId="11"/>
      <queryTableField id="16" name="Book Capital" tableColumnId="14"/>
      <queryTableField id="17" name="Investment Other Inc/(Exp)" tableColumnId="15"/>
      <queryTableField id="19" name="Gains/(Losses)" tableColumnId="17"/>
      <queryTableField id="20" name="Non-Portfolio P&amp;L Activity" tableColumnId="18"/>
      <queryTableField id="24" name="Accumulated Earnings" tableColumnId="13"/>
      <queryTableField id="25" name="Carried Interest Allocation" tableColumnId="16"/>
      <queryTableField id="21" dataBound="0" tableColumnId="19"/>
      <queryTableField id="26" name="Syndication Costs" tableColumnId="20"/>
      <queryTableField id="29" dataBound="0" tableColumnId="22"/>
    </queryTableFields>
    <queryTableDeletedFields count="3">
      <deletedField name="Investor: Remaining Value__dup_1"/>
      <deletedField name="Net Investor Contributions"/>
      <deletedField name="Investor: Total Value"/>
    </queryTableDeletedFields>
  </queryTableRefresh>
</queryTable>
</file>

<file path=xl/queryTables/queryTable2.xml><?xml version="1.0" encoding="utf-8"?>
<queryTable xmlns="http://schemas.openxmlformats.org/spreadsheetml/2006/main" name="caaprd DRIVERS (Theoretical WF) - Contributions by Date" connectionId="2" autoFormatId="16" applyNumberFormats="0" applyBorderFormats="0" applyFontFormats="0" applyPatternFormats="0" applyAlignmentFormats="0" applyWidthHeightFormats="0">
  <queryTableRefresh nextId="13" unboundColumnsRight="2">
    <queryTableFields count="11">
      <queryTableField id="1" name="Fund Family" tableColumnId="1"/>
      <queryTableField id="2" name="Reporting Group" tableColumnId="2"/>
      <queryTableField id="3" name="Investor" tableColumnId="3"/>
      <queryTableField id="4" name="Investor Type" tableColumnId="4"/>
      <queryTableField id="5" name="Alternate Investor Name" tableColumnId="5"/>
      <queryTableField id="6" name="PEQ #" tableColumnId="6"/>
      <queryTableField id="7" name="Investor Common ID" tableColumnId="7"/>
      <queryTableField id="9" name="GL Date" tableColumnId="9"/>
      <queryTableField id="8" name="Partners' Capital Contributions" tableColumnId="8"/>
      <queryTableField id="11" dataBound="0" tableColumnId="10"/>
      <queryTableField id="12" dataBound="0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tblTheoretical_Value" displayName="tblTheoretical_Value" ref="A1:T31" tableType="queryTable" totalsRowCount="1" headerRowDxfId="55" dataDxfId="54" totalsRowDxfId="53">
  <autoFilter ref="A1:T30"/>
  <tableColumns count="20">
    <tableColumn id="1" uniqueName="1" name="Fund Family" totalsRowLabel="Total" queryTableFieldId="1" dataDxfId="52" totalsRowDxfId="51"/>
    <tableColumn id="2" uniqueName="2" name="Reporting Group" queryTableFieldId="13" dataDxfId="50" totalsRowDxfId="49" dataCellStyle="Comma"/>
    <tableColumn id="3" uniqueName="3" name="Investor" queryTableFieldId="3" dataDxfId="48" totalsRowDxfId="47"/>
    <tableColumn id="4" uniqueName="4" name="Investor Type" queryTableFieldId="4" dataDxfId="46" totalsRowDxfId="45"/>
    <tableColumn id="5" uniqueName="5" name="Alternate Investor Name" queryTableFieldId="5" dataDxfId="44" totalsRowDxfId="43"/>
    <tableColumn id="6" uniqueName="6" name="PEQ #" queryTableFieldId="6" dataDxfId="42" totalsRowDxfId="41"/>
    <tableColumn id="7" uniqueName="7" name="Investor Common ID" queryTableFieldId="7" dataDxfId="40" totalsRowDxfId="39"/>
    <tableColumn id="8" uniqueName="8" name="Investor Commitments" totalsRowFunction="sum" queryTableFieldId="8" dataDxfId="38" totalsRowDxfId="37" dataCellStyle="Comma"/>
    <tableColumn id="9" uniqueName="9" name="Investor: Total Invested" totalsRowFunction="sum" queryTableFieldId="9" dataDxfId="36" totalsRowDxfId="35" dataCellStyle="Comma"/>
    <tableColumn id="10" uniqueName="10" name="Investor: Total Distributions" totalsRowFunction="sum" queryTableFieldId="10" dataDxfId="34" totalsRowDxfId="33" dataCellStyle="Comma"/>
    <tableColumn id="11" uniqueName="11" name="Investor: Remaining Value" totalsRowFunction="sum" queryTableFieldId="11" dataDxfId="32" totalsRowDxfId="31" dataCellStyle="Comma"/>
    <tableColumn id="14" uniqueName="14" name="Book Capital" totalsRowFunction="sum" queryTableFieldId="16" dataDxfId="30" totalsRowDxfId="29" dataCellStyle="Comma"/>
    <tableColumn id="15" uniqueName="15" name="Investment Other Inc/(Exp)" totalsRowFunction="sum" queryTableFieldId="17" dataDxfId="28" totalsRowDxfId="27" dataCellStyle="Comma"/>
    <tableColumn id="17" uniqueName="17" name="Gains/(Losses)" totalsRowFunction="sum" queryTableFieldId="19" dataDxfId="26" totalsRowDxfId="25" dataCellStyle="Comma"/>
    <tableColumn id="18" uniqueName="18" name="Non-Portfolio P&amp;L Activity" totalsRowFunction="sum" queryTableFieldId="20" dataDxfId="24" totalsRowDxfId="23" dataCellStyle="Comma"/>
    <tableColumn id="13" uniqueName="13" name="Accumulated Earnings" totalsRowFunction="sum" queryTableFieldId="24" dataDxfId="22" totalsRowDxfId="21" dataCellStyle="Comma"/>
    <tableColumn id="16" uniqueName="16" name="Carried Interest Allocation" totalsRowFunction="sum" queryTableFieldId="25" dataDxfId="20" totalsRowDxfId="19" dataCellStyle="Comma"/>
    <tableColumn id="19" uniqueName="19" name="Accumulated Earnings, gross of Carried Interest" totalsRowFunction="sum" queryTableFieldId="21" dataDxfId="18" totalsRowDxfId="17" dataCellStyle="Comma">
      <calculatedColumnFormula>SUM(tblTheoretical_Value[[#This Row],[Investment Other Inc/(Exp)]],tblTheoretical_Value[[#This Row],[Gains/(Losses)]],tblTheoretical_Value[[#This Row],[Non-Portfolio P&amp;L Activity]])-tblTheoretical_Value[[#This Row],[Carried Interest Allocation]]</calculatedColumnFormula>
    </tableColumn>
    <tableColumn id="20" uniqueName="20" name="Syndication Costs" totalsRowFunction="sum" queryTableFieldId="26" dataDxfId="16" totalsRowDxfId="15" dataCellStyle="Comma"/>
    <tableColumn id="22" uniqueName="22" name="Accumulated Earnings, gross of Carried Interest and net of Syndication Costs" totalsRowFunction="sum" queryTableFieldId="29" dataDxfId="14" totalsRowDxfId="13" dataCellStyle="Comma">
      <calculatedColumnFormula>SUM(tblTheoretical_Value[[#This Row],[Investment Other Inc/(Exp)]],tblTheoretical_Value[[#This Row],[Gains/(Losses)]],tblTheoretical_Value[[#This Row],[Non-Portfolio P&amp;L Activity]])-tblTheoretical_Value[[#This Row],[Carried Interest Allocation]]+tblTheoretical_Value[[#This Row],[Syndication Costs]]</calculatedColumnFormula>
    </tableColumn>
  </tableColumns>
  <tableStyleInfo name="Table Style 2" showFirstColumn="0" showLastColumn="0" showRowStripes="1" showColumnStripes="0"/>
</table>
</file>

<file path=xl/tables/table2.xml><?xml version="1.0" encoding="utf-8"?>
<table xmlns="http://schemas.openxmlformats.org/spreadsheetml/2006/main" id="2" name="tblPref" displayName="tblPref" ref="A5:K384" tableType="queryTable" totalsRowShown="0" headerRowDxfId="12" dataDxfId="11">
  <autoFilter ref="A5:K384"/>
  <tableColumns count="11">
    <tableColumn id="1" uniqueName="1" name="Fund Family" queryTableFieldId="1" dataDxfId="10"/>
    <tableColumn id="2" uniqueName="2" name="Reporting Group" queryTableFieldId="2" dataDxfId="9"/>
    <tableColumn id="3" uniqueName="3" name="Investor" queryTableFieldId="3" dataDxfId="8"/>
    <tableColumn id="4" uniqueName="4" name="Investor Type" queryTableFieldId="4" dataDxfId="7"/>
    <tableColumn id="5" uniqueName="5" name="Alternate Investor Name" queryTableFieldId="5" dataDxfId="6"/>
    <tableColumn id="6" uniqueName="6" name="PEQ #" queryTableFieldId="6" dataDxfId="5"/>
    <tableColumn id="7" uniqueName="7" name="Investor Common ID" queryTableFieldId="7" dataDxfId="4"/>
    <tableColumn id="9" uniqueName="9" name="GL Date" queryTableFieldId="9" dataDxfId="3"/>
    <tableColumn id="8" uniqueName="8" name="Partners' Capital Contributions" queryTableFieldId="8" dataDxfId="2" dataCellStyle="Comma"/>
    <tableColumn id="10" uniqueName="10" name="Pref Period in Years" queryTableFieldId="11" dataDxfId="1">
      <calculatedColumnFormula>((Period_End_Date-$H6+1)/365)</calculatedColumnFormula>
    </tableColumn>
    <tableColumn id="11" uniqueName="11" name="Preferred Return" queryTableFieldId="12" dataDxfId="0" dataCellStyle="Comma">
      <calculatedColumnFormula>ROUND($I6*(1+Preferred_Return_Rate)^tblPref[[#This Row],[Pref Period in Years]]-I6,2)</calculatedColumnFormula>
    </tableColumn>
  </tableColumns>
  <tableStyleInfo name="Table Style 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C7"/>
  <sheetViews>
    <sheetView showGridLines="0" tabSelected="1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B2" sqref="B2"/>
    </sheetView>
  </sheetViews>
  <sheetFormatPr defaultRowHeight="12.75" x14ac:dyDescent="0.2"/>
  <cols>
    <col min="1" max="1" width="0.85546875" style="12" customWidth="1"/>
    <col min="2" max="2" width="25.85546875" style="12" customWidth="1"/>
    <col min="3" max="3" width="25.7109375" style="12" customWidth="1"/>
    <col min="4" max="4" width="21.140625" style="12" bestFit="1" customWidth="1"/>
    <col min="5" max="5" width="9.85546875" style="12" bestFit="1" customWidth="1"/>
    <col min="6" max="6" width="8.140625" style="12" bestFit="1" customWidth="1"/>
    <col min="7" max="16384" width="9.140625" style="12"/>
  </cols>
  <sheetData>
    <row r="1" spans="2:3" ht="4.5" customHeight="1" thickBot="1" x14ac:dyDescent="0.25"/>
    <row r="2" spans="2:3" ht="33.75" customHeight="1" thickBot="1" x14ac:dyDescent="0.25">
      <c r="B2" s="14" t="s">
        <v>28</v>
      </c>
      <c r="C2" s="15" t="s">
        <v>99</v>
      </c>
    </row>
    <row r="3" spans="2:3" ht="33.75" customHeight="1" thickBot="1" x14ac:dyDescent="0.25">
      <c r="B3" s="14" t="s">
        <v>45</v>
      </c>
      <c r="C3" s="16">
        <v>0.04</v>
      </c>
    </row>
    <row r="4" spans="2:3" ht="33.75" customHeight="1" thickBot="1" x14ac:dyDescent="0.25">
      <c r="B4" s="14" t="s">
        <v>46</v>
      </c>
      <c r="C4" s="16">
        <v>0.2</v>
      </c>
    </row>
    <row r="5" spans="2:3" ht="33.75" customHeight="1" thickBot="1" x14ac:dyDescent="0.25">
      <c r="B5" s="14" t="s">
        <v>47</v>
      </c>
      <c r="C5" s="16">
        <v>0.8</v>
      </c>
    </row>
    <row r="6" spans="2:3" ht="33.75" customHeight="1" thickBot="1" x14ac:dyDescent="0.25">
      <c r="B6" s="14" t="s">
        <v>48</v>
      </c>
      <c r="C6" s="16">
        <v>0.2</v>
      </c>
    </row>
    <row r="7" spans="2:3" ht="33.75" customHeight="1" thickBot="1" x14ac:dyDescent="0.25">
      <c r="B7" s="14" t="s">
        <v>100</v>
      </c>
      <c r="C7" s="17">
        <v>41639</v>
      </c>
    </row>
  </sheetData>
  <phoneticPr fontId="2" type="noConversion"/>
  <pageMargins left="0.75" right="0.75" top="1" bottom="1" header="0.5" footer="0.5"/>
  <pageSetup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"/>
  <sheetViews>
    <sheetView workbookViewId="0">
      <selection activeCell="B4" sqref="B4"/>
    </sheetView>
  </sheetViews>
  <sheetFormatPr defaultRowHeight="11.25" x14ac:dyDescent="0.2"/>
  <cols>
    <col min="1" max="1" width="44.28515625" style="2" customWidth="1"/>
    <col min="2" max="2" width="24.42578125" style="2" customWidth="1"/>
    <col min="3" max="3" width="16.7109375" style="2" customWidth="1"/>
    <col min="4" max="4" width="16.42578125" style="2" customWidth="1"/>
    <col min="5" max="7" width="12.7109375" style="2" customWidth="1"/>
    <col min="8" max="8" width="22.7109375" style="2" customWidth="1"/>
    <col min="9" max="16384" width="9.140625" style="2"/>
  </cols>
  <sheetData>
    <row r="1" spans="1:9" x14ac:dyDescent="0.2">
      <c r="A1" s="1" t="s">
        <v>7</v>
      </c>
      <c r="B1" s="1" t="s">
        <v>8</v>
      </c>
      <c r="C1" s="1" t="s">
        <v>9</v>
      </c>
    </row>
    <row r="2" spans="1:9" ht="12.75" x14ac:dyDescent="0.2">
      <c r="A2" s="3" t="s">
        <v>10</v>
      </c>
      <c r="B2" s="4" t="e">
        <f>'Carry Terms'!#REF!</f>
        <v>#REF!</v>
      </c>
      <c r="C2" s="102" t="s">
        <v>11</v>
      </c>
      <c r="D2" s="103"/>
      <c r="E2" s="103"/>
      <c r="F2" s="103"/>
      <c r="G2" s="103"/>
      <c r="H2" s="104"/>
    </row>
    <row r="3" spans="1:9" ht="12.75" x14ac:dyDescent="0.2">
      <c r="A3" s="5" t="s">
        <v>12</v>
      </c>
      <c r="B3" s="6" t="e">
        <f>'Carry Terms'!#REF!</f>
        <v>#REF!</v>
      </c>
      <c r="C3" s="107" t="s">
        <v>13</v>
      </c>
      <c r="D3" s="103"/>
      <c r="E3" s="103"/>
      <c r="F3" s="103"/>
      <c r="G3" s="103"/>
      <c r="H3" s="104"/>
      <c r="I3" s="2">
        <v>6</v>
      </c>
    </row>
    <row r="4" spans="1:9" ht="12.75" customHeight="1" x14ac:dyDescent="0.2">
      <c r="A4" s="5" t="s">
        <v>14</v>
      </c>
      <c r="B4" s="6" t="e">
        <f>'Carry Terms'!#REF!</f>
        <v>#REF!</v>
      </c>
      <c r="C4" s="107" t="s">
        <v>15</v>
      </c>
      <c r="D4" s="103"/>
      <c r="E4" s="103"/>
      <c r="F4" s="103"/>
      <c r="G4" s="103"/>
      <c r="H4" s="104"/>
    </row>
    <row r="5" spans="1:9" ht="12.75" x14ac:dyDescent="0.2">
      <c r="A5" s="5" t="s">
        <v>16</v>
      </c>
      <c r="B5" s="7" t="s">
        <v>17</v>
      </c>
      <c r="C5" s="107" t="s">
        <v>18</v>
      </c>
      <c r="D5" s="103"/>
      <c r="E5" s="103"/>
      <c r="F5" s="103"/>
      <c r="G5" s="103"/>
      <c r="H5" s="104"/>
    </row>
    <row r="6" spans="1:9" ht="12.75" customHeight="1" x14ac:dyDescent="0.2">
      <c r="A6" s="5" t="s">
        <v>19</v>
      </c>
      <c r="B6" s="7" t="s">
        <v>20</v>
      </c>
      <c r="C6" s="102" t="s">
        <v>21</v>
      </c>
      <c r="D6" s="103"/>
      <c r="E6" s="103"/>
      <c r="F6" s="103"/>
      <c r="G6" s="103"/>
      <c r="H6" s="104"/>
    </row>
    <row r="7" spans="1:9" ht="12.75" customHeight="1" x14ac:dyDescent="0.2">
      <c r="A7" s="5" t="s">
        <v>22</v>
      </c>
      <c r="C7" s="102"/>
      <c r="D7" s="103"/>
      <c r="E7" s="103"/>
      <c r="F7" s="103"/>
      <c r="G7" s="103"/>
      <c r="H7" s="104"/>
    </row>
    <row r="8" spans="1:9" ht="12.75" x14ac:dyDescent="0.2">
      <c r="A8" s="8"/>
      <c r="B8" s="8"/>
      <c r="C8" s="9"/>
      <c r="D8" s="10"/>
      <c r="E8" s="10"/>
      <c r="F8" s="10"/>
      <c r="G8" s="10"/>
      <c r="H8" s="10"/>
    </row>
    <row r="9" spans="1:9" x14ac:dyDescent="0.2">
      <c r="A9" s="1" t="s">
        <v>23</v>
      </c>
    </row>
    <row r="10" spans="1:9" ht="57" customHeight="1" x14ac:dyDescent="0.2">
      <c r="A10" s="105" t="s">
        <v>24</v>
      </c>
      <c r="B10" s="106"/>
      <c r="C10" s="106"/>
      <c r="D10" s="106"/>
      <c r="E10" s="106"/>
      <c r="F10" s="106"/>
    </row>
  </sheetData>
  <mergeCells count="7">
    <mergeCell ref="C6:H6"/>
    <mergeCell ref="C7:H7"/>
    <mergeCell ref="A10:F10"/>
    <mergeCell ref="C2:H2"/>
    <mergeCell ref="C3:H3"/>
    <mergeCell ref="C4:H4"/>
    <mergeCell ref="C5:H5"/>
  </mergeCells>
  <phoneticPr fontId="2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37"/>
  <sheetViews>
    <sheetView showGridLines="0" zoomScale="85" zoomScaleNormal="85" workbookViewId="0">
      <pane xSplit="3" ySplit="4" topLeftCell="D5" activePane="bottomRight" state="frozen"/>
      <selection pane="topRight" activeCell="D1" sqref="D1"/>
      <selection pane="bottomLeft" activeCell="A9" sqref="A9"/>
      <selection pane="bottomRight" activeCell="J12" sqref="J12"/>
    </sheetView>
  </sheetViews>
  <sheetFormatPr defaultRowHeight="12.75" outlineLevelRow="1" x14ac:dyDescent="0.2"/>
  <cols>
    <col min="1" max="1" width="22.85546875" style="38" bestFit="1" customWidth="1"/>
    <col min="2" max="2" width="10" style="39" customWidth="1"/>
    <col min="3" max="3" width="6.28515625" style="39" customWidth="1"/>
    <col min="4" max="4" width="1.28515625" style="43" customWidth="1"/>
    <col min="5" max="5" width="16.28515625" style="43" customWidth="1"/>
    <col min="6" max="6" width="20.140625" style="43" customWidth="1"/>
    <col min="7" max="7" width="16.5703125" style="43" customWidth="1"/>
    <col min="8" max="8" width="1.28515625" style="43" customWidth="1"/>
    <col min="9" max="9" width="17.85546875" style="43" bestFit="1" customWidth="1"/>
    <col min="10" max="10" width="16.5703125" style="43" bestFit="1" customWidth="1"/>
    <col min="11" max="11" width="16.28515625" style="43" bestFit="1" customWidth="1"/>
    <col min="12" max="12" width="14.5703125" style="43" bestFit="1" customWidth="1"/>
    <col min="13" max="13" width="15.42578125" style="43" bestFit="1" customWidth="1"/>
    <col min="14" max="14" width="16.5703125" style="43" bestFit="1" customWidth="1"/>
    <col min="15" max="15" width="7.85546875" style="43" bestFit="1" customWidth="1"/>
    <col min="16" max="16" width="1.28515625" style="43" customWidth="1"/>
    <col min="17" max="17" width="16.85546875" style="43" customWidth="1"/>
    <col min="18" max="18" width="15.85546875" style="43" customWidth="1"/>
    <col min="19" max="21" width="15.7109375" style="43" customWidth="1"/>
    <col min="22" max="22" width="1.28515625" style="43" customWidth="1"/>
    <col min="23" max="23" width="16.85546875" style="43" customWidth="1"/>
    <col min="24" max="24" width="15.85546875" style="43" customWidth="1"/>
    <col min="25" max="25" width="15.7109375" style="43" customWidth="1"/>
    <col min="26" max="26" width="7.85546875" style="43" bestFit="1" customWidth="1"/>
    <col min="27" max="27" width="1.28515625" style="43" customWidth="1"/>
    <col min="28" max="31" width="9.28515625" style="43" customWidth="1"/>
    <col min="32" max="32" width="13" style="43" customWidth="1"/>
    <col min="33" max="16384" width="9.140625" style="43"/>
  </cols>
  <sheetData>
    <row r="1" spans="1:32" customFormat="1" ht="51" hidden="1" outlineLevel="1" x14ac:dyDescent="0.2">
      <c r="A1" s="38"/>
      <c r="B1" s="39"/>
      <c r="C1" s="40"/>
      <c r="D1" s="41"/>
      <c r="E1" s="42" t="s">
        <v>36</v>
      </c>
      <c r="F1" s="42" t="s">
        <v>98</v>
      </c>
      <c r="G1" s="42"/>
      <c r="H1" s="41"/>
      <c r="I1" s="41"/>
      <c r="J1" s="41"/>
      <c r="K1" s="41"/>
      <c r="L1" s="41"/>
      <c r="M1" s="41"/>
      <c r="N1" s="41"/>
      <c r="O1" s="41"/>
      <c r="P1" s="41"/>
      <c r="Q1" s="41"/>
      <c r="R1" s="42" t="s">
        <v>37</v>
      </c>
      <c r="S1" s="41"/>
      <c r="T1" s="42" t="s">
        <v>39</v>
      </c>
      <c r="U1" s="41"/>
      <c r="V1" s="41"/>
      <c r="W1" s="41"/>
      <c r="X1" s="42" t="s">
        <v>63</v>
      </c>
      <c r="Y1" s="41"/>
      <c r="Z1" s="41"/>
      <c r="AA1" s="41"/>
      <c r="AB1" s="41"/>
      <c r="AC1" s="41"/>
      <c r="AD1" s="41"/>
      <c r="AE1" s="41"/>
      <c r="AF1" s="41"/>
    </row>
    <row r="2" spans="1:32" customFormat="1" ht="49.5" customHeight="1" collapsed="1" thickBot="1" x14ac:dyDescent="0.35">
      <c r="A2" s="38"/>
      <c r="B2" s="39"/>
      <c r="C2" s="39"/>
      <c r="D2" s="11"/>
      <c r="E2" s="30" t="s">
        <v>51</v>
      </c>
      <c r="F2" s="22"/>
      <c r="G2" s="25"/>
      <c r="H2" s="28"/>
      <c r="I2" s="31" t="s">
        <v>44</v>
      </c>
      <c r="J2" s="18"/>
      <c r="K2" s="18"/>
      <c r="L2" s="18"/>
      <c r="M2" s="18"/>
      <c r="N2" s="19"/>
      <c r="O2" s="24"/>
      <c r="P2" s="28"/>
      <c r="Q2" s="31" t="s">
        <v>52</v>
      </c>
      <c r="R2" s="18"/>
      <c r="S2" s="18"/>
      <c r="T2" s="18"/>
      <c r="U2" s="24"/>
      <c r="V2" s="28"/>
      <c r="W2" s="31" t="s">
        <v>56</v>
      </c>
      <c r="X2" s="18"/>
      <c r="Y2" s="18"/>
      <c r="Z2" s="24"/>
      <c r="AA2" s="28"/>
      <c r="AB2" s="32" t="s">
        <v>58</v>
      </c>
      <c r="AC2" s="33"/>
      <c r="AD2" s="33"/>
      <c r="AE2" s="36"/>
      <c r="AF2" s="33"/>
    </row>
    <row r="3" spans="1:32" customFormat="1" ht="16.5" thickTop="1" x14ac:dyDescent="0.25">
      <c r="A3" s="38"/>
      <c r="B3" s="39"/>
      <c r="C3" s="39"/>
      <c r="D3" s="11"/>
      <c r="E3" s="26" t="s">
        <v>30</v>
      </c>
      <c r="F3" s="13" t="s">
        <v>31</v>
      </c>
      <c r="G3" s="27" t="str">
        <f>"C = " &amp;E3 &amp; " + "&amp;F3</f>
        <v>C = A + B</v>
      </c>
      <c r="H3" s="29"/>
      <c r="I3" s="23"/>
      <c r="J3" s="23"/>
      <c r="K3" s="20" t="s">
        <v>26</v>
      </c>
      <c r="L3" s="21"/>
      <c r="M3" s="20" t="s">
        <v>27</v>
      </c>
      <c r="N3" s="21"/>
      <c r="O3" s="23"/>
      <c r="P3" s="29"/>
      <c r="Q3" s="23"/>
      <c r="R3" s="23"/>
      <c r="S3" s="23"/>
      <c r="T3" s="23"/>
      <c r="U3" s="23"/>
      <c r="V3" s="29"/>
      <c r="W3" s="37" t="s">
        <v>62</v>
      </c>
      <c r="X3" s="37" t="s">
        <v>65</v>
      </c>
      <c r="Y3" s="23"/>
      <c r="Z3" s="23"/>
      <c r="AA3" s="29"/>
      <c r="AB3" s="20" t="s">
        <v>57</v>
      </c>
      <c r="AC3" s="21"/>
      <c r="AD3" s="20" t="s">
        <v>27</v>
      </c>
      <c r="AE3" s="21"/>
      <c r="AF3" s="37" t="s">
        <v>6</v>
      </c>
    </row>
    <row r="4" spans="1:32" customFormat="1" ht="31.5" x14ac:dyDescent="0.25">
      <c r="A4" s="44" t="s">
        <v>0</v>
      </c>
      <c r="B4" s="45" t="s">
        <v>5</v>
      </c>
      <c r="C4" s="45" t="s">
        <v>50</v>
      </c>
      <c r="D4" s="35"/>
      <c r="E4" s="64" t="s">
        <v>29</v>
      </c>
      <c r="F4" s="64" t="s">
        <v>43</v>
      </c>
      <c r="G4" s="64" t="s">
        <v>53</v>
      </c>
      <c r="H4" s="65"/>
      <c r="I4" s="66" t="s">
        <v>29</v>
      </c>
      <c r="J4" s="66" t="s">
        <v>25</v>
      </c>
      <c r="K4" s="67" t="s">
        <v>3</v>
      </c>
      <c r="L4" s="68" t="s">
        <v>4</v>
      </c>
      <c r="M4" s="67" t="s">
        <v>3</v>
      </c>
      <c r="N4" s="68" t="s">
        <v>4</v>
      </c>
      <c r="O4" s="69" t="s">
        <v>49</v>
      </c>
      <c r="P4" s="65"/>
      <c r="Q4" s="66" t="s">
        <v>53</v>
      </c>
      <c r="R4" s="66" t="s">
        <v>54</v>
      </c>
      <c r="S4" s="66" t="s">
        <v>55</v>
      </c>
      <c r="T4" s="66" t="s">
        <v>39</v>
      </c>
      <c r="U4" s="66" t="s">
        <v>67</v>
      </c>
      <c r="V4" s="65"/>
      <c r="W4" s="66" t="s">
        <v>56</v>
      </c>
      <c r="X4" s="66" t="s">
        <v>66</v>
      </c>
      <c r="Y4" s="66" t="s">
        <v>67</v>
      </c>
      <c r="Z4" s="69" t="s">
        <v>49</v>
      </c>
      <c r="AA4" s="65"/>
      <c r="AB4" s="67" t="s">
        <v>3</v>
      </c>
      <c r="AC4" s="68" t="s">
        <v>4</v>
      </c>
      <c r="AD4" s="67" t="s">
        <v>3</v>
      </c>
      <c r="AE4" s="68" t="s">
        <v>4</v>
      </c>
      <c r="AF4" s="66" t="s">
        <v>56</v>
      </c>
    </row>
    <row r="5" spans="1:32" customFormat="1" ht="23.25" customHeight="1" thickBot="1" x14ac:dyDescent="0.3">
      <c r="A5" s="46" t="s">
        <v>6</v>
      </c>
      <c r="B5" s="47"/>
      <c r="C5" s="48"/>
      <c r="D5" s="49"/>
      <c r="E5" s="78">
        <f>SUM(E7:E1048576)</f>
        <v>90104000</v>
      </c>
      <c r="F5" s="78">
        <f t="shared" ref="F5:G5" si="0">SUM(F7:F1048576)</f>
        <v>13066922.350000001</v>
      </c>
      <c r="G5" s="78">
        <f t="shared" si="0"/>
        <v>103170922.34999999</v>
      </c>
      <c r="H5" s="50"/>
      <c r="I5" s="78">
        <f t="shared" ref="I5:N5" si="1">SUM(I7:I1048576)</f>
        <v>88609294.550000012</v>
      </c>
      <c r="J5" s="78">
        <f t="shared" si="1"/>
        <v>8003364.790000001</v>
      </c>
      <c r="K5" s="78">
        <f t="shared" si="1"/>
        <v>4265061.9520000005</v>
      </c>
      <c r="L5" s="78">
        <f t="shared" si="1"/>
        <v>533132.74399999995</v>
      </c>
      <c r="M5" s="78">
        <f t="shared" si="1"/>
        <v>877286.09599999862</v>
      </c>
      <c r="N5" s="78">
        <f t="shared" si="1"/>
        <v>1754572.1919999975</v>
      </c>
      <c r="O5" s="78">
        <f>SUM(O7:O1048576)</f>
        <v>0</v>
      </c>
      <c r="P5" s="50"/>
      <c r="Q5" s="78">
        <f t="shared" ref="Q5:T5" si="2">SUM(Q7:Q1048576)</f>
        <v>103170922.35000001</v>
      </c>
      <c r="R5" s="78">
        <f t="shared" si="2"/>
        <v>-91329000</v>
      </c>
      <c r="S5" s="78">
        <f t="shared" si="2"/>
        <v>11841922.349999994</v>
      </c>
      <c r="T5" s="78">
        <f t="shared" si="2"/>
        <v>11841922.350000001</v>
      </c>
      <c r="U5" s="78">
        <f>SUM(U7:U1048576)</f>
        <v>-1.3969838619232178E-9</v>
      </c>
      <c r="V5" s="50"/>
      <c r="W5" s="78">
        <f t="shared" ref="W5:Y5" si="3">SUM(W7:W1048576)</f>
        <v>0</v>
      </c>
      <c r="X5" s="78">
        <f t="shared" si="3"/>
        <v>0</v>
      </c>
      <c r="Y5" s="78">
        <f t="shared" si="3"/>
        <v>0</v>
      </c>
      <c r="Z5" s="78">
        <f>SUM(Z7:Z1048576)</f>
        <v>0</v>
      </c>
      <c r="AA5" s="50"/>
      <c r="AB5" s="34"/>
      <c r="AC5" s="34"/>
      <c r="AD5" s="34"/>
      <c r="AE5" s="34"/>
      <c r="AF5" s="34"/>
    </row>
    <row r="6" spans="1:32" customFormat="1" ht="4.5" customHeight="1" thickTop="1" x14ac:dyDescent="0.25">
      <c r="A6" s="70"/>
      <c r="B6" s="71"/>
      <c r="C6" s="72"/>
      <c r="D6" s="73"/>
      <c r="E6" s="74"/>
      <c r="F6" s="74"/>
      <c r="G6" s="75"/>
      <c r="H6" s="73"/>
      <c r="I6" s="76"/>
      <c r="J6" s="76"/>
      <c r="K6" s="76"/>
      <c r="L6" s="76"/>
      <c r="M6" s="76"/>
      <c r="N6" s="76"/>
      <c r="O6" s="76"/>
      <c r="P6" s="73"/>
      <c r="Q6" s="75"/>
      <c r="R6" s="76"/>
      <c r="S6" s="75"/>
      <c r="T6" s="76"/>
      <c r="U6" s="76"/>
      <c r="V6" s="73"/>
      <c r="W6" s="76"/>
      <c r="X6" s="76"/>
      <c r="Y6" s="76"/>
      <c r="Z6" s="76"/>
      <c r="AA6" s="73"/>
      <c r="AB6" s="76"/>
      <c r="AC6" s="76"/>
      <c r="AD6" s="76"/>
      <c r="AE6" s="76"/>
      <c r="AF6" s="76"/>
    </row>
    <row r="7" spans="1:32" customFormat="1" ht="23.25" customHeight="1" thickBot="1" x14ac:dyDescent="0.3">
      <c r="A7" s="82" t="s">
        <v>68</v>
      </c>
      <c r="B7" s="83">
        <v>8406</v>
      </c>
      <c r="C7" s="84" t="s">
        <v>3</v>
      </c>
      <c r="D7" s="56"/>
      <c r="E7" s="79">
        <f t="array" ref="E7">SUMPRODUCT(($A7=tblTheoretical_Value[Investor])*($C7=tblTheoretical_Value[Investor Type])*(E$1=tblTheoretical_Value[[#Headers],[Investor Commitments]:[Non-Portfolio P&amp;L Activity]])*tblTheoretical_Value[[Investor Commitments]:[Non-Portfolio P&amp;L Activity]])</f>
        <v>1494705.45</v>
      </c>
      <c r="F7" s="79">
        <f>SUMPRODUCT(($A7=tblTheoretical_Value[Investor])*($C7=tblTheoretical_Value[Investor Type])*(F$1=tblTheoretical_Value[[#Headers],[Investor Commitments]:[Accumulated Earnings, gross of Carried Interest and net of Syndication Costs]])*tblTheoretical_Value[[Investor Commitments]:[Accumulated Earnings, gross of Carried Interest and net of Syndication Costs]])</f>
        <v>204678.60000000003</v>
      </c>
      <c r="G7" s="80">
        <f>SUM(E7:F7)</f>
        <v>1699384.05</v>
      </c>
      <c r="H7" s="50"/>
      <c r="I7" s="81"/>
      <c r="J7" s="81"/>
      <c r="K7" s="79">
        <f>SUM(K$9:K1048576)</f>
        <v>2132530.9760000007</v>
      </c>
      <c r="L7" s="81"/>
      <c r="M7" s="79">
        <f t="array" ref="M7">SUM(M$9:M1048576)</f>
        <v>438643.04799999937</v>
      </c>
      <c r="N7" s="81"/>
      <c r="O7" s="79"/>
      <c r="P7" s="50"/>
      <c r="Q7" s="80">
        <f t="array" ref="Q7">SUM($G7:$P7)</f>
        <v>4270558.074</v>
      </c>
      <c r="R7" s="79">
        <f t="array" ref="R7">SUMPRODUCT(($A7=tblTheoretical_Value[Investor])*($C7=tblTheoretical_Value[Investor Type])*(R$1=tblTheoretical_Value[[#Headers],[Investor Commitments]:[Non-Portfolio P&amp;L Activity]])*tblTheoretical_Value[[Investor Commitments]:[Non-Portfolio P&amp;L Activity]])</f>
        <v>-3544393.57</v>
      </c>
      <c r="S7" s="80">
        <f>SUM($Q7:$R7)</f>
        <v>726164.50400000019</v>
      </c>
      <c r="T7" s="79">
        <f t="array" ref="T7">SUMPRODUCT(($A7=tblTheoretical_Value[Investor])*($C7=tblTheoretical_Value[Investor Type])*(T$1=tblTheoretical_Value[[#Headers],[Investor Commitments]:[Non-Portfolio P&amp;L Activity]])*tblTheoretical_Value[[Investor Commitments]:[Non-Portfolio P&amp;L Activity]])</f>
        <v>-1845009.52</v>
      </c>
      <c r="U7" s="79">
        <f t="shared" ref="U7" si="4">S7-T7</f>
        <v>2571174.0240000002</v>
      </c>
      <c r="V7" s="50"/>
      <c r="W7" s="79">
        <f>$K7+$M7</f>
        <v>2571174.0240000002</v>
      </c>
      <c r="X7" s="79">
        <f t="array" ref="X7">SUMPRODUCT(($A7=tblTheoretical_Value[Investor])*($C7=tblTheoretical_Value[Investor Type])*(X$1=tblTheoretical_Value[[#Headers],[Investor Commitments]:[Non-Portfolio P&amp;L Activity]])*tblTheoretical_Value[[Investor Commitments]:[Non-Portfolio P&amp;L Activity]])</f>
        <v>0</v>
      </c>
      <c r="Y7" s="79">
        <f>W7-X7</f>
        <v>2571174.0240000002</v>
      </c>
      <c r="Z7" s="79">
        <f>U7-Y7</f>
        <v>0</v>
      </c>
      <c r="AA7" s="50"/>
      <c r="AB7" s="59"/>
      <c r="AC7" s="59"/>
      <c r="AD7" s="59"/>
      <c r="AE7" s="59"/>
      <c r="AF7" s="59"/>
    </row>
    <row r="8" spans="1:32" s="77" customFormat="1" ht="4.5" customHeight="1" x14ac:dyDescent="0.25">
      <c r="A8" s="70"/>
      <c r="B8" s="71"/>
      <c r="C8" s="72"/>
      <c r="D8" s="73"/>
      <c r="E8" s="74"/>
      <c r="F8" s="74"/>
      <c r="G8" s="75"/>
      <c r="H8" s="73"/>
      <c r="I8" s="76"/>
      <c r="J8" s="76"/>
      <c r="K8" s="76"/>
      <c r="L8" s="76"/>
      <c r="M8" s="76"/>
      <c r="N8" s="76"/>
      <c r="O8" s="76"/>
      <c r="P8" s="73"/>
      <c r="Q8" s="75"/>
      <c r="R8" s="76"/>
      <c r="S8" s="75"/>
      <c r="T8" s="76"/>
      <c r="U8" s="76"/>
      <c r="V8" s="73"/>
      <c r="W8" s="76"/>
      <c r="X8" s="76"/>
      <c r="Y8" s="76"/>
      <c r="Z8" s="76"/>
      <c r="AA8" s="73"/>
      <c r="AB8" s="76"/>
      <c r="AC8" s="76"/>
      <c r="AD8" s="76"/>
      <c r="AE8" s="76"/>
      <c r="AF8" s="76"/>
    </row>
    <row r="9" spans="1:32" s="52" customFormat="1" ht="15" x14ac:dyDescent="0.25">
      <c r="A9" s="53" t="s">
        <v>69</v>
      </c>
      <c r="B9" s="54">
        <v>8371</v>
      </c>
      <c r="C9" s="55" t="s">
        <v>4</v>
      </c>
      <c r="D9" s="56"/>
      <c r="E9" s="57">
        <f t="array" ref="E9">SUMPRODUCT(($A9=tblTheoretical_Value[Investor])*($C9=tblTheoretical_Value[Investor Type])*(E$1=tblTheoretical_Value[[#Headers],[Investor Commitments]:[Non-Portfolio P&amp;L Activity]])*tblTheoretical_Value[[Investor Commitments]:[Non-Portfolio P&amp;L Activity]])</f>
        <v>277366.86</v>
      </c>
      <c r="F9" s="57">
        <f t="array" ref="F9">SUMPRODUCT(($A9=tblTheoretical_Value[Investor])*($C9=tblTheoretical_Value[Investor Type])*(F$1=tblTheoretical_Value[[#Headers],[Investor Commitments]:[Accumulated Earnings, gross of Carried Interest and net of Syndication Costs]])*tblTheoretical_Value[[Investor Commitments]:[Accumulated Earnings, gross of Carried Interest and net of Syndication Costs]])</f>
        <v>36167.279999999999</v>
      </c>
      <c r="G9" s="58">
        <f>SUM(E9:F9)</f>
        <v>313534.14</v>
      </c>
      <c r="H9" s="50"/>
      <c r="I9" s="57">
        <f>MIN($E9,$G9)</f>
        <v>277366.86</v>
      </c>
      <c r="J9" s="57">
        <f>MIN(($G9-$I9),SUMPRODUCT(--($A9=tblPref[Investor])*tblPref[Preferred Return]))</f>
        <v>23305.300000000003</v>
      </c>
      <c r="K9" s="57">
        <f t="shared" ref="K9:K36" si="5">GP_Catch_Up_Split*MIN(($G9-SUM($I9:$J9)),(($J9/(1-(GP_Catch_Up_Percent/GP_Catch_Up_Split)))-$J9))</f>
        <v>6214.7466666666678</v>
      </c>
      <c r="L9" s="57">
        <f t="shared" ref="L9:L36" si="6">(1-GP_Catch_Up_Split)*MIN(($G9-SUM($I9:$J9)),(($J9/(1-(GP_Catch_Up_Percent/GP_Catch_Up_Split)))-$J9))</f>
        <v>1553.6866666666665</v>
      </c>
      <c r="M9" s="57">
        <f t="shared" ref="M9:M36" si="7">GP_Carry_Percent*($G9-SUM($I9:$L9))</f>
        <v>1018.7093333333498</v>
      </c>
      <c r="N9" s="57">
        <f t="shared" ref="N9:N36" si="8">(1-GP_Carry_Percent)*($G9-SUM($I9:$L9))</f>
        <v>4074.8373333333993</v>
      </c>
      <c r="O9" s="57">
        <f>$G9-SUM($I9:$N9)</f>
        <v>0</v>
      </c>
      <c r="P9" s="50"/>
      <c r="Q9" s="58">
        <f>SUM(I9:J9,L9,N9)</f>
        <v>306300.68400000001</v>
      </c>
      <c r="R9" s="57">
        <f t="array" ref="R9">SUMPRODUCT(($A9=tblTheoretical_Value[Investor])*($C9=tblTheoretical_Value[Investor Type])*(R$1=tblTheoretical_Value[[#Headers],[Investor Commitments]:[Non-Portfolio P&amp;L Activity]])*tblTheoretical_Value[[Investor Commitments]:[Non-Portfolio P&amp;L Activity]])</f>
        <v>-216754.45</v>
      </c>
      <c r="S9" s="58">
        <f t="shared" ref="S9:S36" si="9">SUM($Q9:$R9)</f>
        <v>89546.233999999997</v>
      </c>
      <c r="T9" s="57">
        <f t="array" ref="T9">SUMPRODUCT(($A9=tblTheoretical_Value[Investor])*($C9=tblTheoretical_Value[Investor Type])*(T$1=tblTheoretical_Value[[#Headers],[Investor Commitments]:[Non-Portfolio P&amp;L Activity]])*tblTheoretical_Value[[Investor Commitments]:[Non-Portfolio P&amp;L Activity]])</f>
        <v>96779.69</v>
      </c>
      <c r="U9" s="57">
        <f>S9-T9</f>
        <v>-7233.4560000000056</v>
      </c>
      <c r="V9" s="50"/>
      <c r="W9" s="57">
        <f>-$K9-$M9</f>
        <v>-7233.4560000000174</v>
      </c>
      <c r="X9" s="57">
        <f t="array" ref="X9">SUMPRODUCT(($A9=tblTheoretical_Value[Investor])*($C9=tblTheoretical_Value[Investor Type])*(X$1=tblTheoretical_Value[[#Headers],[Investor Commitments]:[Non-Portfolio P&amp;L Activity]])*tblTheoretical_Value[[Investor Commitments]:[Non-Portfolio P&amp;L Activity]])</f>
        <v>0</v>
      </c>
      <c r="Y9" s="57">
        <f t="shared" ref="Y9:Y36" si="10">W9-X9</f>
        <v>-7233.4560000000174</v>
      </c>
      <c r="Z9" s="57">
        <f>ROUND(U9-Y9,2)</f>
        <v>0</v>
      </c>
      <c r="AA9" s="50"/>
      <c r="AB9" s="60">
        <f>IFERROR($K9/SUM($J9:$L9),"")</f>
        <v>0.2</v>
      </c>
      <c r="AC9" s="60">
        <f>IFERROR(($J9+$L9)/SUM($J9:$L9),"")</f>
        <v>0.8</v>
      </c>
      <c r="AD9" s="60">
        <f>IFERROR($M9/SUM($M9:$N9),"")</f>
        <v>0.2</v>
      </c>
      <c r="AE9" s="60">
        <f>IFERROR($N9/SUM($M9:$N9),"")</f>
        <v>0.8</v>
      </c>
      <c r="AF9" s="60">
        <f>IFERROR(($K9+$M9)/($G9-SUM($I9:$I9)),"")</f>
        <v>0.20000000000000032</v>
      </c>
    </row>
    <row r="10" spans="1:32" s="52" customFormat="1" ht="15" x14ac:dyDescent="0.25">
      <c r="A10" s="53" t="s">
        <v>70</v>
      </c>
      <c r="B10" s="54">
        <v>8384</v>
      </c>
      <c r="C10" s="55" t="s">
        <v>4</v>
      </c>
      <c r="D10" s="56"/>
      <c r="E10" s="61">
        <f t="array" ref="E10">SUMPRODUCT(($A10=tblTheoretical_Value[Investor])*($C10=tblTheoretical_Value[Investor Type])*(E$1=tblTheoretical_Value[[#Headers],[Investor Commitments]:[Non-Portfolio P&amp;L Activity]])*tblTheoretical_Value[[Investor Commitments]:[Non-Portfolio P&amp;L Activity]])</f>
        <v>94601.05</v>
      </c>
      <c r="F10" s="61">
        <f t="array" ref="F10">SUMPRODUCT(($A10=tblTheoretical_Value[Investor])*($C10=tblTheoretical_Value[Investor Type])*(F$1=tblTheoretical_Value[[#Headers],[Investor Commitments]:[Accumulated Earnings, gross of Carried Interest and net of Syndication Costs]])*tblTheoretical_Value[[Investor Commitments]:[Accumulated Earnings, gross of Carried Interest and net of Syndication Costs]])</f>
        <v>14081.63</v>
      </c>
      <c r="G10" s="62">
        <f t="shared" ref="G10:G36" si="11">SUM(E10:F10)</f>
        <v>108682.68000000001</v>
      </c>
      <c r="H10" s="51"/>
      <c r="I10" s="61">
        <f t="shared" ref="I10:I36" si="12">MIN($E10,$G10)</f>
        <v>94601.05</v>
      </c>
      <c r="J10" s="63">
        <f>MIN(($G10-$I10),SUMPRODUCT(--($A10=tblPref[Investor])*tblPref[Preferred Return]))</f>
        <v>9157.5400000000009</v>
      </c>
      <c r="K10" s="63">
        <f t="shared" si="5"/>
        <v>2442.0106666666675</v>
      </c>
      <c r="L10" s="63">
        <f t="shared" si="6"/>
        <v>610.50266666666676</v>
      </c>
      <c r="M10" s="63">
        <f t="shared" si="7"/>
        <v>374.31533333333505</v>
      </c>
      <c r="N10" s="63">
        <f t="shared" si="8"/>
        <v>1497.2613333333402</v>
      </c>
      <c r="O10" s="63">
        <f t="shared" ref="O10:O36" si="13">$G10-SUM($I10:$N10)</f>
        <v>0</v>
      </c>
      <c r="P10" s="51"/>
      <c r="Q10" s="62">
        <f t="shared" ref="Q10:Q36" si="14">SUM(I10:J10,L10,N10)</f>
        <v>105866.35400000001</v>
      </c>
      <c r="R10" s="61">
        <f t="array" ref="R10">SUMPRODUCT(($A10=tblTheoretical_Value[Investor])*($C10=tblTheoretical_Value[Investor Type])*(R$1=tblTheoretical_Value[[#Headers],[Investor Commitments]:[Non-Portfolio P&amp;L Activity]])*tblTheoretical_Value[[Investor Commitments]:[Non-Portfolio P&amp;L Activity]])</f>
        <v>-100288.35</v>
      </c>
      <c r="S10" s="62">
        <f t="shared" si="9"/>
        <v>5578.0040000000008</v>
      </c>
      <c r="T10" s="61">
        <f t="array" ref="T10">SUMPRODUCT(($A10=tblTheoretical_Value[Investor])*($C10=tblTheoretical_Value[Investor Type])*(T$1=tblTheoretical_Value[[#Headers],[Investor Commitments]:[Non-Portfolio P&amp;L Activity]])*tblTheoretical_Value[[Investor Commitments]:[Non-Portfolio P&amp;L Activity]])</f>
        <v>8394.33</v>
      </c>
      <c r="U10" s="63">
        <f t="shared" ref="U10:U36" si="15">S10-T10</f>
        <v>-2816.3259999999991</v>
      </c>
      <c r="V10" s="51"/>
      <c r="W10" s="61">
        <f t="shared" ref="W10:W36" si="16">-$K10-$M10</f>
        <v>-2816.3260000000028</v>
      </c>
      <c r="X10" s="61">
        <f t="array" ref="X10">SUMPRODUCT(($A10=tblTheoretical_Value[Investor])*($C10=tblTheoretical_Value[Investor Type])*(X$1=tblTheoretical_Value[[#Headers],[Investor Commitments]:[Non-Portfolio P&amp;L Activity]])*tblTheoretical_Value[[Investor Commitments]:[Non-Portfolio P&amp;L Activity]])</f>
        <v>0</v>
      </c>
      <c r="Y10" s="63">
        <f t="shared" si="10"/>
        <v>-2816.3260000000028</v>
      </c>
      <c r="Z10" s="63">
        <f t="shared" ref="Z10:Z36" si="17">ROUND(U10-Y10,2)</f>
        <v>0</v>
      </c>
      <c r="AA10" s="51"/>
      <c r="AB10" s="60">
        <f t="shared" ref="AB10:AB36" si="18">IFERROR($K10/SUM($J10:$L10),"")</f>
        <v>0.20000000000000004</v>
      </c>
      <c r="AC10" s="60">
        <f t="shared" ref="AC10:AC36" si="19">IFERROR(($J10+$L10)/SUM($J10:$L10),"")</f>
        <v>0.8</v>
      </c>
      <c r="AD10" s="60">
        <f t="shared" ref="AD10:AD36" si="20">IFERROR($M10/SUM($M10:$N10),"")</f>
        <v>0.2</v>
      </c>
      <c r="AE10" s="60">
        <f t="shared" ref="AE10:AE36" si="21">IFERROR($N10/SUM($M10:$N10),"")</f>
        <v>0.8</v>
      </c>
      <c r="AF10" s="60">
        <f t="shared" ref="AF10:AF36" si="22">IFERROR(($K10+$M10)/($G10-SUM($I10:$I10)),"")</f>
        <v>0.20000000000000012</v>
      </c>
    </row>
    <row r="11" spans="1:32" s="52" customFormat="1" ht="15" x14ac:dyDescent="0.25">
      <c r="A11" s="53" t="s">
        <v>71</v>
      </c>
      <c r="B11" s="54">
        <v>8387</v>
      </c>
      <c r="C11" s="55" t="s">
        <v>4</v>
      </c>
      <c r="D11" s="56"/>
      <c r="E11" s="61">
        <f t="array" ref="E11">SUMPRODUCT(($A11=tblTheoretical_Value[Investor])*($C11=tblTheoretical_Value[Investor Type])*(E$1=tblTheoretical_Value[[#Headers],[Investor Commitments]:[Non-Portfolio P&amp;L Activity]])*tblTheoretical_Value[[Investor Commitments]:[Non-Portfolio P&amp;L Activity]])</f>
        <v>7439358.2800000003</v>
      </c>
      <c r="F11" s="61">
        <f t="array" ref="F11">SUMPRODUCT(($A11=tblTheoretical_Value[Investor])*($C11=tblTheoretical_Value[Investor Type])*(F$1=tblTheoretical_Value[[#Headers],[Investor Commitments]:[Accumulated Earnings, gross of Carried Interest and net of Syndication Costs]])*tblTheoretical_Value[[Investor Commitments]:[Accumulated Earnings, gross of Carried Interest and net of Syndication Costs]])</f>
        <v>1004983.27</v>
      </c>
      <c r="G11" s="62">
        <f t="shared" si="11"/>
        <v>8444341.5500000007</v>
      </c>
      <c r="H11" s="51"/>
      <c r="I11" s="61">
        <f t="shared" si="12"/>
        <v>7439358.2800000003</v>
      </c>
      <c r="J11" s="63">
        <f>MIN(($G11-$I11),SUMPRODUCT(--($A11=tblPref[Investor])*tblPref[Preferred Return]))</f>
        <v>649257.23999999987</v>
      </c>
      <c r="K11" s="63">
        <f t="shared" si="5"/>
        <v>173135.26399999997</v>
      </c>
      <c r="L11" s="63">
        <f t="shared" si="6"/>
        <v>43283.815999999984</v>
      </c>
      <c r="M11" s="63">
        <f t="shared" si="7"/>
        <v>27861.390000000225</v>
      </c>
      <c r="N11" s="63">
        <f t="shared" si="8"/>
        <v>111445.5600000009</v>
      </c>
      <c r="O11" s="63">
        <f t="shared" si="13"/>
        <v>0</v>
      </c>
      <c r="P11" s="51"/>
      <c r="Q11" s="62">
        <f t="shared" si="14"/>
        <v>8243344.8960000006</v>
      </c>
      <c r="R11" s="61">
        <f t="array" ref="R11">SUMPRODUCT(($A11=tblTheoretical_Value[Investor])*($C11=tblTheoretical_Value[Investor Type])*(R$1=tblTheoretical_Value[[#Headers],[Investor Commitments]:[Non-Portfolio P&amp;L Activity]])*tblTheoretical_Value[[Investor Commitments]:[Non-Portfolio P&amp;L Activity]])</f>
        <v>-6340857.2800000003</v>
      </c>
      <c r="S11" s="62">
        <f t="shared" si="9"/>
        <v>1902487.6160000004</v>
      </c>
      <c r="T11" s="61">
        <f t="array" ref="T11">SUMPRODUCT(($A11=tblTheoretical_Value[Investor])*($C11=tblTheoretical_Value[Investor Type])*(T$1=tblTheoretical_Value[[#Headers],[Investor Commitments]:[Non-Portfolio P&amp;L Activity]])*tblTheoretical_Value[[Investor Commitments]:[Non-Portfolio P&amp;L Activity]])</f>
        <v>2103484.27</v>
      </c>
      <c r="U11" s="63">
        <f t="shared" si="15"/>
        <v>-200996.65399999963</v>
      </c>
      <c r="V11" s="51"/>
      <c r="W11" s="61">
        <f t="shared" si="16"/>
        <v>-200996.65400000018</v>
      </c>
      <c r="X11" s="61">
        <f t="array" ref="X11">SUMPRODUCT(($A11=tblTheoretical_Value[Investor])*($C11=tblTheoretical_Value[Investor Type])*(X$1=tblTheoretical_Value[[#Headers],[Investor Commitments]:[Non-Portfolio P&amp;L Activity]])*tblTheoretical_Value[[Investor Commitments]:[Non-Portfolio P&amp;L Activity]])</f>
        <v>0</v>
      </c>
      <c r="Y11" s="63">
        <f t="shared" si="10"/>
        <v>-200996.65400000018</v>
      </c>
      <c r="Z11" s="63">
        <f t="shared" si="17"/>
        <v>0</v>
      </c>
      <c r="AA11" s="51"/>
      <c r="AB11" s="60">
        <f t="shared" si="18"/>
        <v>0.2</v>
      </c>
      <c r="AC11" s="60">
        <f t="shared" si="19"/>
        <v>0.8</v>
      </c>
      <c r="AD11" s="60">
        <f t="shared" si="20"/>
        <v>0.2</v>
      </c>
      <c r="AE11" s="60">
        <f t="shared" si="21"/>
        <v>0.8</v>
      </c>
      <c r="AF11" s="60">
        <f t="shared" si="22"/>
        <v>0.20000000000000009</v>
      </c>
    </row>
    <row r="12" spans="1:32" s="52" customFormat="1" ht="15" x14ac:dyDescent="0.25">
      <c r="A12" s="53" t="s">
        <v>72</v>
      </c>
      <c r="B12" s="54">
        <v>8360</v>
      </c>
      <c r="C12" s="55" t="s">
        <v>4</v>
      </c>
      <c r="D12" s="56"/>
      <c r="E12" s="61">
        <f t="array" ref="E12">SUMPRODUCT(($A12=tblTheoretical_Value[Investor])*($C12=tblTheoretical_Value[Investor Type])*(E$1=tblTheoretical_Value[[#Headers],[Investor Commitments]:[Non-Portfolio P&amp;L Activity]])*tblTheoretical_Value[[Investor Commitments]:[Non-Portfolio P&amp;L Activity]])</f>
        <v>221893.51</v>
      </c>
      <c r="F12" s="61">
        <f t="array" ref="F12">SUMPRODUCT(($A12=tblTheoretical_Value[Investor])*($C12=tblTheoretical_Value[Investor Type])*(F$1=tblTheoretical_Value[[#Headers],[Investor Commitments]:[Accumulated Earnings, gross of Carried Interest and net of Syndication Costs]])*tblTheoretical_Value[[Investor Commitments]:[Accumulated Earnings, gross of Carried Interest and net of Syndication Costs]])</f>
        <v>22734.469999999998</v>
      </c>
      <c r="G12" s="62">
        <f t="shared" si="11"/>
        <v>244627.98</v>
      </c>
      <c r="H12" s="51"/>
      <c r="I12" s="61">
        <f t="shared" si="12"/>
        <v>221893.51</v>
      </c>
      <c r="J12" s="63">
        <f>MIN(($G12-$I12),SUMPRODUCT(--($A12=tblPref[Investor])*tblPref[Preferred Return]))</f>
        <v>18644.260000000002</v>
      </c>
      <c r="K12" s="63">
        <f t="shared" si="5"/>
        <v>3272.1679999999938</v>
      </c>
      <c r="L12" s="63">
        <f t="shared" si="6"/>
        <v>818.04199999999821</v>
      </c>
      <c r="M12" s="63">
        <f t="shared" si="7"/>
        <v>0</v>
      </c>
      <c r="N12" s="63">
        <f t="shared" si="8"/>
        <v>0</v>
      </c>
      <c r="O12" s="63">
        <f t="shared" si="13"/>
        <v>0</v>
      </c>
      <c r="P12" s="51"/>
      <c r="Q12" s="62">
        <f t="shared" si="14"/>
        <v>241355.81200000001</v>
      </c>
      <c r="R12" s="61">
        <f t="array" ref="R12">SUMPRODUCT(($A12=tblTheoretical_Value[Investor])*($C12=tblTheoretical_Value[Investor Type])*(R$1=tblTheoretical_Value[[#Headers],[Investor Commitments]:[Non-Portfolio P&amp;L Activity]])*tblTheoretical_Value[[Investor Commitments]:[Non-Portfolio P&amp;L Activity]])</f>
        <v>-173403.58</v>
      </c>
      <c r="S12" s="62">
        <f t="shared" si="9"/>
        <v>67952.232000000018</v>
      </c>
      <c r="T12" s="61">
        <f t="array" ref="T12">SUMPRODUCT(($A12=tblTheoretical_Value[Investor])*($C12=tblTheoretical_Value[Investor Type])*(T$1=tblTheoretical_Value[[#Headers],[Investor Commitments]:[Non-Portfolio P&amp;L Activity]])*tblTheoretical_Value[[Investor Commitments]:[Non-Portfolio P&amp;L Activity]])</f>
        <v>71224.399999999994</v>
      </c>
      <c r="U12" s="63">
        <f t="shared" si="15"/>
        <v>-3272.167999999976</v>
      </c>
      <c r="V12" s="51"/>
      <c r="W12" s="61">
        <f t="shared" si="16"/>
        <v>-3272.1679999999938</v>
      </c>
      <c r="X12" s="61">
        <f t="array" ref="X12">SUMPRODUCT(($A12=tblTheoretical_Value[Investor])*($C12=tblTheoretical_Value[Investor Type])*(X$1=tblTheoretical_Value[[#Headers],[Investor Commitments]:[Non-Portfolio P&amp;L Activity]])*tblTheoretical_Value[[Investor Commitments]:[Non-Portfolio P&amp;L Activity]])</f>
        <v>0</v>
      </c>
      <c r="Y12" s="63">
        <f t="shared" si="10"/>
        <v>-3272.1679999999938</v>
      </c>
      <c r="Z12" s="63">
        <f t="shared" si="17"/>
        <v>0</v>
      </c>
      <c r="AA12" s="51"/>
      <c r="AB12" s="60">
        <f t="shared" si="18"/>
        <v>0.14392981230703836</v>
      </c>
      <c r="AC12" s="60">
        <f t="shared" si="19"/>
        <v>0.85607018769296161</v>
      </c>
      <c r="AD12" s="60" t="str">
        <f t="shared" si="20"/>
        <v/>
      </c>
      <c r="AE12" s="60" t="str">
        <f t="shared" si="21"/>
        <v/>
      </c>
      <c r="AF12" s="60">
        <f t="shared" si="22"/>
        <v>0.14392981230703833</v>
      </c>
    </row>
    <row r="13" spans="1:32" s="52" customFormat="1" ht="15" x14ac:dyDescent="0.25">
      <c r="A13" s="53" t="s">
        <v>73</v>
      </c>
      <c r="B13" s="54">
        <v>8406</v>
      </c>
      <c r="C13" s="55" t="s">
        <v>4</v>
      </c>
      <c r="D13" s="56"/>
      <c r="E13" s="61">
        <f t="array" ref="E13">SUMPRODUCT(($A13=tblTheoretical_Value[Investor])*($C13=tblTheoretical_Value[Investor Type])*(E$1=tblTheoretical_Value[[#Headers],[Investor Commitments]:[Non-Portfolio P&amp;L Activity]])*tblTheoretical_Value[[Investor Commitments]:[Non-Portfolio P&amp;L Activity]])</f>
        <v>221893.51</v>
      </c>
      <c r="F13" s="61">
        <f t="array" ref="F13">SUMPRODUCT(($A13=tblTheoretical_Value[Investor])*($C13=tblTheoretical_Value[Investor Type])*(F$1=tblTheoretical_Value[[#Headers],[Investor Commitments]:[Accumulated Earnings, gross of Carried Interest and net of Syndication Costs]])*tblTheoretical_Value[[Investor Commitments]:[Accumulated Earnings, gross of Carried Interest and net of Syndication Costs]])</f>
        <v>28933.68</v>
      </c>
      <c r="G13" s="62">
        <f t="shared" si="11"/>
        <v>250827.19</v>
      </c>
      <c r="H13" s="51"/>
      <c r="I13" s="61">
        <f t="shared" si="12"/>
        <v>221893.51</v>
      </c>
      <c r="J13" s="63">
        <f>MIN(($G13-$I13),SUMPRODUCT(--($A13=tblPref[Investor])*tblPref[Preferred Return]))</f>
        <v>18644.260000000002</v>
      </c>
      <c r="K13" s="63">
        <f t="shared" si="5"/>
        <v>4971.8026666666674</v>
      </c>
      <c r="L13" s="63">
        <f t="shared" si="6"/>
        <v>1242.9506666666666</v>
      </c>
      <c r="M13" s="63">
        <f t="shared" si="7"/>
        <v>814.93333333333146</v>
      </c>
      <c r="N13" s="63">
        <f t="shared" si="8"/>
        <v>3259.7333333333258</v>
      </c>
      <c r="O13" s="63">
        <f t="shared" si="13"/>
        <v>0</v>
      </c>
      <c r="P13" s="51"/>
      <c r="Q13" s="62">
        <f t="shared" si="14"/>
        <v>245040.45400000003</v>
      </c>
      <c r="R13" s="61">
        <f t="array" ref="R13">SUMPRODUCT(($A13=tblTheoretical_Value[Investor])*($C13=tblTheoretical_Value[Investor Type])*(R$1=tblTheoretical_Value[[#Headers],[Investor Commitments]:[Non-Portfolio P&amp;L Activity]])*tblTheoretical_Value[[Investor Commitments]:[Non-Portfolio P&amp;L Activity]])</f>
        <v>-173403.58</v>
      </c>
      <c r="S13" s="62">
        <f t="shared" si="9"/>
        <v>71636.87400000004</v>
      </c>
      <c r="T13" s="61">
        <f t="array" ref="T13">SUMPRODUCT(($A13=tblTheoretical_Value[Investor])*($C13=tblTheoretical_Value[Investor Type])*(T$1=tblTheoretical_Value[[#Headers],[Investor Commitments]:[Non-Portfolio P&amp;L Activity]])*tblTheoretical_Value[[Investor Commitments]:[Non-Portfolio P&amp;L Activity]])</f>
        <v>77423.61</v>
      </c>
      <c r="U13" s="63">
        <f t="shared" si="15"/>
        <v>-5786.7359999999608</v>
      </c>
      <c r="V13" s="51"/>
      <c r="W13" s="61">
        <f t="shared" si="16"/>
        <v>-5786.735999999999</v>
      </c>
      <c r="X13" s="61">
        <f t="array" ref="X13">SUMPRODUCT(($A13=tblTheoretical_Value[Investor])*($C13=tblTheoretical_Value[Investor Type])*(X$1=tblTheoretical_Value[[#Headers],[Investor Commitments]:[Non-Portfolio P&amp;L Activity]])*tblTheoretical_Value[[Investor Commitments]:[Non-Portfolio P&amp;L Activity]])</f>
        <v>0</v>
      </c>
      <c r="Y13" s="63">
        <f t="shared" si="10"/>
        <v>-5786.735999999999</v>
      </c>
      <c r="Z13" s="63">
        <f t="shared" si="17"/>
        <v>0</v>
      </c>
      <c r="AA13" s="51"/>
      <c r="AB13" s="60">
        <f t="shared" si="18"/>
        <v>0.2</v>
      </c>
      <c r="AC13" s="60">
        <f t="shared" si="19"/>
        <v>0.8</v>
      </c>
      <c r="AD13" s="60">
        <f t="shared" si="20"/>
        <v>0.19999999999999998</v>
      </c>
      <c r="AE13" s="60">
        <f t="shared" si="21"/>
        <v>0.79999999999999993</v>
      </c>
      <c r="AF13" s="60">
        <f t="shared" si="22"/>
        <v>0.2</v>
      </c>
    </row>
    <row r="14" spans="1:32" s="52" customFormat="1" ht="15" x14ac:dyDescent="0.25">
      <c r="A14" s="53" t="s">
        <v>74</v>
      </c>
      <c r="B14" s="54">
        <v>8357</v>
      </c>
      <c r="C14" s="55" t="s">
        <v>4</v>
      </c>
      <c r="D14" s="56"/>
      <c r="E14" s="61">
        <f t="array" ref="E14">SUMPRODUCT(($A14=tblTheoretical_Value[Investor])*($C14=tblTheoretical_Value[Investor Type])*(E$1=tblTheoretical_Value[[#Headers],[Investor Commitments]:[Non-Portfolio P&amp;L Activity]])*tblTheoretical_Value[[Investor Commitments]:[Non-Portfolio P&amp;L Activity]])</f>
        <v>6601331.5999999996</v>
      </c>
      <c r="F14" s="61">
        <f t="array" ref="F14">SUMPRODUCT(($A14=tblTheoretical_Value[Investor])*($C14=tblTheoretical_Value[Investor Type])*(F$1=tblTheoretical_Value[[#Headers],[Investor Commitments]:[Accumulated Earnings, gross of Carried Interest and net of Syndication Costs]])*tblTheoretical_Value[[Investor Commitments]:[Accumulated Earnings, gross of Carried Interest and net of Syndication Costs]])</f>
        <v>860783.4800000001</v>
      </c>
      <c r="G14" s="62">
        <f t="shared" si="11"/>
        <v>7462115.0800000001</v>
      </c>
      <c r="H14" s="51"/>
      <c r="I14" s="61">
        <f t="shared" si="12"/>
        <v>6601331.5999999996</v>
      </c>
      <c r="J14" s="63">
        <f>MIN(($G14-$I14),SUMPRODUCT(--($A14=tblPref[Investor])*tblPref[Preferred Return]))</f>
        <v>554666.20000000007</v>
      </c>
      <c r="K14" s="63">
        <f t="shared" si="5"/>
        <v>147910.98666666672</v>
      </c>
      <c r="L14" s="63">
        <f t="shared" si="6"/>
        <v>36977.746666666673</v>
      </c>
      <c r="M14" s="63">
        <f t="shared" si="7"/>
        <v>24245.709333333376</v>
      </c>
      <c r="N14" s="63">
        <f t="shared" si="8"/>
        <v>96982.837333333504</v>
      </c>
      <c r="O14" s="63">
        <f t="shared" si="13"/>
        <v>0</v>
      </c>
      <c r="P14" s="51"/>
      <c r="Q14" s="62">
        <f t="shared" si="14"/>
        <v>7289958.3840000005</v>
      </c>
      <c r="R14" s="61">
        <f t="array" ref="R14">SUMPRODUCT(($A14=tblTheoretical_Value[Investor])*($C14=tblTheoretical_Value[Investor Type])*(R$1=tblTheoretical_Value[[#Headers],[Investor Commitments]:[Non-Portfolio P&amp;L Activity]])*tblTheoretical_Value[[Investor Commitments]:[Non-Portfolio P&amp;L Activity]])</f>
        <v>-5158756.55</v>
      </c>
      <c r="S14" s="62">
        <f t="shared" si="9"/>
        <v>2131201.8340000007</v>
      </c>
      <c r="T14" s="61">
        <f t="array" ref="T14">SUMPRODUCT(($A14=tblTheoretical_Value[Investor])*($C14=tblTheoretical_Value[Investor Type])*(T$1=tblTheoretical_Value[[#Headers],[Investor Commitments]:[Non-Portfolio P&amp;L Activity]])*tblTheoretical_Value[[Investor Commitments]:[Non-Portfolio P&amp;L Activity]])</f>
        <v>2303358.5299999998</v>
      </c>
      <c r="U14" s="63">
        <f t="shared" si="15"/>
        <v>-172156.69599999906</v>
      </c>
      <c r="V14" s="51"/>
      <c r="W14" s="61">
        <f t="shared" si="16"/>
        <v>-172156.69600000011</v>
      </c>
      <c r="X14" s="61">
        <f t="array" ref="X14">SUMPRODUCT(($A14=tblTheoretical_Value[Investor])*($C14=tblTheoretical_Value[Investor Type])*(X$1=tblTheoretical_Value[[#Headers],[Investor Commitments]:[Non-Portfolio P&amp;L Activity]])*tblTheoretical_Value[[Investor Commitments]:[Non-Portfolio P&amp;L Activity]])</f>
        <v>0</v>
      </c>
      <c r="Y14" s="63">
        <f t="shared" si="10"/>
        <v>-172156.69600000011</v>
      </c>
      <c r="Z14" s="63">
        <f t="shared" si="17"/>
        <v>0</v>
      </c>
      <c r="AA14" s="51"/>
      <c r="AB14" s="60">
        <f t="shared" si="18"/>
        <v>0.20000000000000004</v>
      </c>
      <c r="AC14" s="60">
        <f t="shared" si="19"/>
        <v>0.8</v>
      </c>
      <c r="AD14" s="60">
        <f t="shared" si="20"/>
        <v>0.2</v>
      </c>
      <c r="AE14" s="60">
        <f t="shared" si="21"/>
        <v>0.8</v>
      </c>
      <c r="AF14" s="60">
        <f t="shared" si="22"/>
        <v>0.20000000000000004</v>
      </c>
    </row>
    <row r="15" spans="1:32" s="52" customFormat="1" ht="15" x14ac:dyDescent="0.25">
      <c r="A15" s="53" t="s">
        <v>75</v>
      </c>
      <c r="B15" s="54">
        <v>8391</v>
      </c>
      <c r="C15" s="55" t="s">
        <v>4</v>
      </c>
      <c r="D15" s="56"/>
      <c r="E15" s="61">
        <f t="array" ref="E15">SUMPRODUCT(($A15=tblTheoretical_Value[Investor])*($C15=tblTheoretical_Value[Investor Type])*(E$1=tblTheoretical_Value[[#Headers],[Investor Commitments]:[Non-Portfolio P&amp;L Activity]])*tblTheoretical_Value[[Investor Commitments]:[Non-Portfolio P&amp;L Activity]])</f>
        <v>22461889.489999998</v>
      </c>
      <c r="F15" s="61">
        <f t="array" ref="F15">SUMPRODUCT(($A15=tblTheoretical_Value[Investor])*($C15=tblTheoretical_Value[Investor Type])*(F$1=tblTheoretical_Value[[#Headers],[Investor Commitments]:[Accumulated Earnings, gross of Carried Interest and net of Syndication Costs]])*tblTheoretical_Value[[Investor Commitments]:[Accumulated Earnings, gross of Carried Interest and net of Syndication Costs]])</f>
        <v>3336388.8600000003</v>
      </c>
      <c r="G15" s="62">
        <f t="shared" si="11"/>
        <v>25798278.349999998</v>
      </c>
      <c r="H15" s="51"/>
      <c r="I15" s="61">
        <f t="shared" si="12"/>
        <v>22461889.489999998</v>
      </c>
      <c r="J15" s="63">
        <f>MIN(($G15-$I15),SUMPRODUCT(--($A15=tblPref[Investor])*tblPref[Preferred Return]))</f>
        <v>2169391.1900000004</v>
      </c>
      <c r="K15" s="63">
        <f t="shared" si="5"/>
        <v>578504.31733333354</v>
      </c>
      <c r="L15" s="63">
        <f t="shared" si="6"/>
        <v>144626.07933333336</v>
      </c>
      <c r="M15" s="63">
        <f t="shared" si="7"/>
        <v>88773.454666665944</v>
      </c>
      <c r="N15" s="63">
        <f t="shared" si="8"/>
        <v>355093.81866666378</v>
      </c>
      <c r="O15" s="63">
        <f t="shared" si="13"/>
        <v>0</v>
      </c>
      <c r="P15" s="51"/>
      <c r="Q15" s="62">
        <f t="shared" si="14"/>
        <v>25131000.577999998</v>
      </c>
      <c r="R15" s="61">
        <f t="array" ref="R15">SUMPRODUCT(($A15=tblTheoretical_Value[Investor])*($C15=tblTheoretical_Value[Investor Type])*(R$1=tblTheoretical_Value[[#Headers],[Investor Commitments]:[Non-Portfolio P&amp;L Activity]])*tblTheoretical_Value[[Investor Commitments]:[Non-Portfolio P&amp;L Activity]])</f>
        <v>-23704080.800000001</v>
      </c>
      <c r="S15" s="62">
        <f t="shared" si="9"/>
        <v>1426919.7779999971</v>
      </c>
      <c r="T15" s="61">
        <f t="array" ref="T15">SUMPRODUCT(($A15=tblTheoretical_Value[Investor])*($C15=tblTheoretical_Value[Investor Type])*(T$1=tblTheoretical_Value[[#Headers],[Investor Commitments]:[Non-Portfolio P&amp;L Activity]])*tblTheoretical_Value[[Investor Commitments]:[Non-Portfolio P&amp;L Activity]])</f>
        <v>2094197.55</v>
      </c>
      <c r="U15" s="63">
        <f t="shared" si="15"/>
        <v>-667277.77200000291</v>
      </c>
      <c r="V15" s="51"/>
      <c r="W15" s="61">
        <f t="shared" si="16"/>
        <v>-667277.77199999953</v>
      </c>
      <c r="X15" s="61">
        <f t="array" ref="X15">SUMPRODUCT(($A15=tblTheoretical_Value[Investor])*($C15=tblTheoretical_Value[Investor Type])*(X$1=tblTheoretical_Value[[#Headers],[Investor Commitments]:[Non-Portfolio P&amp;L Activity]])*tblTheoretical_Value[[Investor Commitments]:[Non-Portfolio P&amp;L Activity]])</f>
        <v>0</v>
      </c>
      <c r="Y15" s="63">
        <f t="shared" si="10"/>
        <v>-667277.77199999953</v>
      </c>
      <c r="Z15" s="63">
        <f t="shared" si="17"/>
        <v>0</v>
      </c>
      <c r="AA15" s="51"/>
      <c r="AB15" s="60">
        <f t="shared" si="18"/>
        <v>0.2</v>
      </c>
      <c r="AC15" s="60">
        <f t="shared" si="19"/>
        <v>0.79999999999999993</v>
      </c>
      <c r="AD15" s="60">
        <f t="shared" si="20"/>
        <v>0.2</v>
      </c>
      <c r="AE15" s="60">
        <f t="shared" si="21"/>
        <v>0.8</v>
      </c>
      <c r="AF15" s="60">
        <f t="shared" si="22"/>
        <v>0.1999999999999999</v>
      </c>
    </row>
    <row r="16" spans="1:32" s="52" customFormat="1" ht="15" x14ac:dyDescent="0.25">
      <c r="A16" s="53" t="s">
        <v>76</v>
      </c>
      <c r="B16" s="54">
        <v>8390</v>
      </c>
      <c r="C16" s="55" t="s">
        <v>4</v>
      </c>
      <c r="D16" s="56"/>
      <c r="E16" s="61">
        <f t="array" ref="E16">SUMPRODUCT(($A16=tblTheoretical_Value[Investor])*($C16=tblTheoretical_Value[Investor Type])*(E$1=tblTheoretical_Value[[#Headers],[Investor Commitments]:[Non-Portfolio P&amp;L Activity]])*tblTheoretical_Value[[Investor Commitments]:[Non-Portfolio P&amp;L Activity]])</f>
        <v>122802.25</v>
      </c>
      <c r="F16" s="61">
        <f t="array" ref="F16">SUMPRODUCT(($A16=tblTheoretical_Value[Investor])*($C16=tblTheoretical_Value[Investor Type])*(F$1=tblTheoretical_Value[[#Headers],[Investor Commitments]:[Accumulated Earnings, gross of Carried Interest and net of Syndication Costs]])*tblTheoretical_Value[[Investor Commitments]:[Accumulated Earnings, gross of Carried Interest and net of Syndication Costs]])</f>
        <v>18279.72</v>
      </c>
      <c r="G16" s="62">
        <f t="shared" si="11"/>
        <v>141081.97</v>
      </c>
      <c r="H16" s="51"/>
      <c r="I16" s="61">
        <f t="shared" si="12"/>
        <v>122802.25</v>
      </c>
      <c r="J16" s="63">
        <f>MIN(($G16-$I16),SUMPRODUCT(--($A16=tblPref[Investor])*tblPref[Preferred Return]))</f>
        <v>11887.49</v>
      </c>
      <c r="K16" s="63">
        <f t="shared" si="5"/>
        <v>3169.9973333333328</v>
      </c>
      <c r="L16" s="63">
        <f t="shared" si="6"/>
        <v>792.49933333333297</v>
      </c>
      <c r="M16" s="63">
        <f t="shared" si="7"/>
        <v>485.94666666666745</v>
      </c>
      <c r="N16" s="63">
        <f t="shared" si="8"/>
        <v>1943.7866666666698</v>
      </c>
      <c r="O16" s="63">
        <f t="shared" si="13"/>
        <v>0</v>
      </c>
      <c r="P16" s="51"/>
      <c r="Q16" s="62">
        <f t="shared" si="14"/>
        <v>137426.02600000001</v>
      </c>
      <c r="R16" s="61">
        <f t="array" ref="R16">SUMPRODUCT(($A16=tblTheoretical_Value[Investor])*($C16=tblTheoretical_Value[Investor Type])*(R$1=tblTheoretical_Value[[#Headers],[Investor Commitments]:[Non-Portfolio P&amp;L Activity]])*tblTheoretical_Value[[Investor Commitments]:[Non-Portfolio P&amp;L Activity]])</f>
        <v>-130185.05</v>
      </c>
      <c r="S16" s="62">
        <f t="shared" si="9"/>
        <v>7240.9760000000097</v>
      </c>
      <c r="T16" s="61">
        <f t="array" ref="T16">SUMPRODUCT(($A16=tblTheoretical_Value[Investor])*($C16=tblTheoretical_Value[Investor Type])*(T$1=tblTheoretical_Value[[#Headers],[Investor Commitments]:[Non-Portfolio P&amp;L Activity]])*tblTheoretical_Value[[Investor Commitments]:[Non-Portfolio P&amp;L Activity]])</f>
        <v>10896.92</v>
      </c>
      <c r="U16" s="63">
        <f t="shared" si="15"/>
        <v>-3655.9439999999904</v>
      </c>
      <c r="V16" s="51"/>
      <c r="W16" s="61">
        <f t="shared" si="16"/>
        <v>-3655.9440000000004</v>
      </c>
      <c r="X16" s="61">
        <f t="array" ref="X16">SUMPRODUCT(($A16=tblTheoretical_Value[Investor])*($C16=tblTheoretical_Value[Investor Type])*(X$1=tblTheoretical_Value[[#Headers],[Investor Commitments]:[Non-Portfolio P&amp;L Activity]])*tblTheoretical_Value[[Investor Commitments]:[Non-Portfolio P&amp;L Activity]])</f>
        <v>0</v>
      </c>
      <c r="Y16" s="63">
        <f t="shared" si="10"/>
        <v>-3655.9440000000004</v>
      </c>
      <c r="Z16" s="63">
        <f t="shared" si="17"/>
        <v>0</v>
      </c>
      <c r="AA16" s="51"/>
      <c r="AB16" s="60">
        <f t="shared" si="18"/>
        <v>0.19999999999999998</v>
      </c>
      <c r="AC16" s="60">
        <f t="shared" si="19"/>
        <v>0.8</v>
      </c>
      <c r="AD16" s="60">
        <f t="shared" si="20"/>
        <v>0.2</v>
      </c>
      <c r="AE16" s="60">
        <f t="shared" si="21"/>
        <v>0.8</v>
      </c>
      <c r="AF16" s="60">
        <f t="shared" si="22"/>
        <v>0.2</v>
      </c>
    </row>
    <row r="17" spans="1:32" s="52" customFormat="1" ht="15" x14ac:dyDescent="0.25">
      <c r="A17" s="53" t="s">
        <v>77</v>
      </c>
      <c r="B17" s="54">
        <v>8374</v>
      </c>
      <c r="C17" s="55" t="s">
        <v>4</v>
      </c>
      <c r="D17" s="56"/>
      <c r="E17" s="61">
        <f t="array" ref="E17">SUMPRODUCT(($A17=tblTheoretical_Value[Investor])*($C17=tblTheoretical_Value[Investor Type])*(E$1=tblTheoretical_Value[[#Headers],[Investor Commitments]:[Non-Portfolio P&amp;L Activity]])*tblTheoretical_Value[[Investor Commitments]:[Non-Portfolio P&amp;L Activity]])</f>
        <v>0</v>
      </c>
      <c r="F17" s="61">
        <f t="array" ref="F17">SUMPRODUCT(($A17=tblTheoretical_Value[Investor])*($C17=tblTheoretical_Value[Investor Type])*(F$1=tblTheoretical_Value[[#Headers],[Investor Commitments]:[Accumulated Earnings, gross of Carried Interest and net of Syndication Costs]])*tblTheoretical_Value[[Investor Commitments]:[Accumulated Earnings, gross of Carried Interest and net of Syndication Costs]])</f>
        <v>9189.19</v>
      </c>
      <c r="G17" s="62">
        <f t="shared" si="11"/>
        <v>9189.19</v>
      </c>
      <c r="H17" s="51"/>
      <c r="I17" s="61">
        <f t="shared" si="12"/>
        <v>0</v>
      </c>
      <c r="J17" s="63">
        <f>MIN(($G17-$I17),SUMPRODUCT(--($A17=tblPref[Investor])*tblPref[Preferred Return]))</f>
        <v>0</v>
      </c>
      <c r="K17" s="63">
        <f t="shared" si="5"/>
        <v>0</v>
      </c>
      <c r="L17" s="63">
        <f t="shared" si="6"/>
        <v>0</v>
      </c>
      <c r="M17" s="63">
        <f t="shared" si="7"/>
        <v>1837.8380000000002</v>
      </c>
      <c r="N17" s="63">
        <f t="shared" si="8"/>
        <v>7351.3520000000008</v>
      </c>
      <c r="O17" s="63">
        <f t="shared" si="13"/>
        <v>0</v>
      </c>
      <c r="P17" s="51"/>
      <c r="Q17" s="62">
        <f t="shared" si="14"/>
        <v>7351.3520000000008</v>
      </c>
      <c r="R17" s="61">
        <f t="array" ref="R17">SUMPRODUCT(($A17=tblTheoretical_Value[Investor])*($C17=tblTheoretical_Value[Investor Type])*(R$1=tblTheoretical_Value[[#Headers],[Investor Commitments]:[Non-Portfolio P&amp;L Activity]])*tblTheoretical_Value[[Investor Commitments]:[Non-Portfolio P&amp;L Activity]])</f>
        <v>-36036.04</v>
      </c>
      <c r="S17" s="62">
        <f t="shared" si="9"/>
        <v>-28684.688000000002</v>
      </c>
      <c r="T17" s="61">
        <f t="array" ref="T17">SUMPRODUCT(($A17=tblTheoretical_Value[Investor])*($C17=tblTheoretical_Value[Investor Type])*(T$1=tblTheoretical_Value[[#Headers],[Investor Commitments]:[Non-Portfolio P&amp;L Activity]])*tblTheoretical_Value[[Investor Commitments]:[Non-Portfolio P&amp;L Activity]])</f>
        <v>-26846.85</v>
      </c>
      <c r="U17" s="63">
        <f t="shared" si="15"/>
        <v>-1837.8380000000034</v>
      </c>
      <c r="V17" s="51"/>
      <c r="W17" s="61">
        <f t="shared" si="16"/>
        <v>-1837.8380000000002</v>
      </c>
      <c r="X17" s="61">
        <f t="array" ref="X17">SUMPRODUCT(($A17=tblTheoretical_Value[Investor])*($C17=tblTheoretical_Value[Investor Type])*(X$1=tblTheoretical_Value[[#Headers],[Investor Commitments]:[Non-Portfolio P&amp;L Activity]])*tblTheoretical_Value[[Investor Commitments]:[Non-Portfolio P&amp;L Activity]])</f>
        <v>0</v>
      </c>
      <c r="Y17" s="63">
        <f t="shared" si="10"/>
        <v>-1837.8380000000002</v>
      </c>
      <c r="Z17" s="63">
        <f t="shared" si="17"/>
        <v>0</v>
      </c>
      <c r="AA17" s="51"/>
      <c r="AB17" s="60" t="str">
        <f t="shared" si="18"/>
        <v/>
      </c>
      <c r="AC17" s="60" t="str">
        <f t="shared" si="19"/>
        <v/>
      </c>
      <c r="AD17" s="60">
        <f t="shared" si="20"/>
        <v>0.2</v>
      </c>
      <c r="AE17" s="60">
        <f t="shared" si="21"/>
        <v>0.8</v>
      </c>
      <c r="AF17" s="60">
        <f t="shared" si="22"/>
        <v>0.2</v>
      </c>
    </row>
    <row r="18" spans="1:32" s="52" customFormat="1" ht="15" x14ac:dyDescent="0.25">
      <c r="A18" s="53" t="s">
        <v>78</v>
      </c>
      <c r="B18" s="54">
        <v>8381</v>
      </c>
      <c r="C18" s="55" t="s">
        <v>4</v>
      </c>
      <c r="D18" s="56"/>
      <c r="E18" s="61">
        <f t="array" ref="E18">SUMPRODUCT(($A18=tblTheoretical_Value[Investor])*($C18=tblTheoretical_Value[Investor Type])*(E$1=tblTheoretical_Value[[#Headers],[Investor Commitments]:[Non-Portfolio P&amp;L Activity]])*tblTheoretical_Value[[Investor Commitments]:[Non-Portfolio P&amp;L Activity]])</f>
        <v>56284.45</v>
      </c>
      <c r="F18" s="61">
        <f t="array" ref="F18">SUMPRODUCT(($A18=tblTheoretical_Value[Investor])*($C18=tblTheoretical_Value[Investor Type])*(F$1=tblTheoretical_Value[[#Headers],[Investor Commitments]:[Accumulated Earnings, gross of Carried Interest and net of Syndication Costs]])*tblTheoretical_Value[[Investor Commitments]:[Accumulated Earnings, gross of Carried Interest and net of Syndication Costs]])</f>
        <v>8378.15</v>
      </c>
      <c r="G18" s="62">
        <f t="shared" si="11"/>
        <v>64662.6</v>
      </c>
      <c r="H18" s="51"/>
      <c r="I18" s="61">
        <f t="shared" si="12"/>
        <v>56284.45</v>
      </c>
      <c r="J18" s="63">
        <f>MIN(($G18-$I18),SUMPRODUCT(--($A18=tblPref[Investor])*tblPref[Preferred Return]))</f>
        <v>5448.45</v>
      </c>
      <c r="K18" s="63">
        <f t="shared" si="5"/>
        <v>1452.9199999999998</v>
      </c>
      <c r="L18" s="63">
        <f t="shared" si="6"/>
        <v>363.22999999999985</v>
      </c>
      <c r="M18" s="63">
        <f t="shared" si="7"/>
        <v>222.7100000000006</v>
      </c>
      <c r="N18" s="63">
        <f t="shared" si="8"/>
        <v>890.84000000000242</v>
      </c>
      <c r="O18" s="63">
        <f t="shared" si="13"/>
        <v>0</v>
      </c>
      <c r="P18" s="51"/>
      <c r="Q18" s="62">
        <f t="shared" si="14"/>
        <v>62986.97</v>
      </c>
      <c r="R18" s="61">
        <f t="array" ref="R18">SUMPRODUCT(($A18=tblTheoretical_Value[Investor])*($C18=tblTheoretical_Value[Investor Type])*(R$1=tblTheoretical_Value[[#Headers],[Investor Commitments]:[Non-Portfolio P&amp;L Activity]])*tblTheoretical_Value[[Investor Commitments]:[Non-Portfolio P&amp;L Activity]])</f>
        <v>-59668.160000000003</v>
      </c>
      <c r="S18" s="62">
        <f t="shared" si="9"/>
        <v>3318.8099999999977</v>
      </c>
      <c r="T18" s="61">
        <f t="array" ref="T18">SUMPRODUCT(($A18=tblTheoretical_Value[Investor])*($C18=tblTheoretical_Value[Investor Type])*(T$1=tblTheoretical_Value[[#Headers],[Investor Commitments]:[Non-Portfolio P&amp;L Activity]])*tblTheoretical_Value[[Investor Commitments]:[Non-Portfolio P&amp;L Activity]])</f>
        <v>4994.4399999999996</v>
      </c>
      <c r="U18" s="63">
        <f t="shared" si="15"/>
        <v>-1675.6300000000019</v>
      </c>
      <c r="V18" s="51"/>
      <c r="W18" s="61">
        <f t="shared" si="16"/>
        <v>-1675.6300000000006</v>
      </c>
      <c r="X18" s="61">
        <f t="array" ref="X18">SUMPRODUCT(($A18=tblTheoretical_Value[Investor])*($C18=tblTheoretical_Value[Investor Type])*(X$1=tblTheoretical_Value[[#Headers],[Investor Commitments]:[Non-Portfolio P&amp;L Activity]])*tblTheoretical_Value[[Investor Commitments]:[Non-Portfolio P&amp;L Activity]])</f>
        <v>0</v>
      </c>
      <c r="Y18" s="63">
        <f t="shared" si="10"/>
        <v>-1675.6300000000006</v>
      </c>
      <c r="Z18" s="63">
        <f t="shared" si="17"/>
        <v>0</v>
      </c>
      <c r="AA18" s="51"/>
      <c r="AB18" s="60">
        <f t="shared" si="18"/>
        <v>0.19999999999999998</v>
      </c>
      <c r="AC18" s="60">
        <f t="shared" si="19"/>
        <v>0.79999999999999993</v>
      </c>
      <c r="AD18" s="60">
        <f t="shared" si="20"/>
        <v>0.2</v>
      </c>
      <c r="AE18" s="60">
        <f t="shared" si="21"/>
        <v>0.8</v>
      </c>
      <c r="AF18" s="60">
        <f t="shared" si="22"/>
        <v>0.20000000000000004</v>
      </c>
    </row>
    <row r="19" spans="1:32" s="52" customFormat="1" ht="15" x14ac:dyDescent="0.25">
      <c r="A19" s="53" t="s">
        <v>79</v>
      </c>
      <c r="B19" s="54">
        <v>8370</v>
      </c>
      <c r="C19" s="55" t="s">
        <v>4</v>
      </c>
      <c r="D19" s="56"/>
      <c r="E19" s="61">
        <f t="array" ref="E19">SUMPRODUCT(($A19=tblTheoretical_Value[Investor])*($C19=tblTheoretical_Value[Investor Type])*(E$1=tblTheoretical_Value[[#Headers],[Investor Commitments]:[Non-Portfolio P&amp;L Activity]])*tblTheoretical_Value[[Investor Commitments]:[Non-Portfolio P&amp;L Activity]])</f>
        <v>443786.97</v>
      </c>
      <c r="F19" s="61">
        <f t="array" ref="F19">SUMPRODUCT(($A19=tblTheoretical_Value[Investor])*($C19=tblTheoretical_Value[Investor Type])*(F$1=tblTheoretical_Value[[#Headers],[Investor Commitments]:[Accumulated Earnings, gross of Carried Interest and net of Syndication Costs]])*tblTheoretical_Value[[Investor Commitments]:[Accumulated Earnings, gross of Carried Interest and net of Syndication Costs]])</f>
        <v>57867.87</v>
      </c>
      <c r="G19" s="62">
        <f t="shared" si="11"/>
        <v>501654.83999999997</v>
      </c>
      <c r="H19" s="51"/>
      <c r="I19" s="61">
        <f t="shared" si="12"/>
        <v>443786.97</v>
      </c>
      <c r="J19" s="63">
        <f>MIN(($G19-$I19),SUMPRODUCT(--($A19=tblPref[Investor])*tblPref[Preferred Return]))</f>
        <v>37288.480000000003</v>
      </c>
      <c r="K19" s="63">
        <f t="shared" si="5"/>
        <v>9943.5946666666659</v>
      </c>
      <c r="L19" s="63">
        <f t="shared" si="6"/>
        <v>2485.898666666666</v>
      </c>
      <c r="M19" s="63">
        <f t="shared" si="7"/>
        <v>1629.9793333333453</v>
      </c>
      <c r="N19" s="63">
        <f t="shared" si="8"/>
        <v>6519.9173333333811</v>
      </c>
      <c r="O19" s="63">
        <f t="shared" si="13"/>
        <v>0</v>
      </c>
      <c r="P19" s="51"/>
      <c r="Q19" s="62">
        <f t="shared" si="14"/>
        <v>490081.266</v>
      </c>
      <c r="R19" s="61">
        <f t="array" ref="R19">SUMPRODUCT(($A19=tblTheoretical_Value[Investor])*($C19=tblTheoretical_Value[Investor Type])*(R$1=tblTheoretical_Value[[#Headers],[Investor Commitments]:[Non-Portfolio P&amp;L Activity]])*tblTheoretical_Value[[Investor Commitments]:[Non-Portfolio P&amp;L Activity]])</f>
        <v>-346807.19</v>
      </c>
      <c r="S19" s="62">
        <f t="shared" si="9"/>
        <v>143274.076</v>
      </c>
      <c r="T19" s="61">
        <f t="array" ref="T19">SUMPRODUCT(($A19=tblTheoretical_Value[Investor])*($C19=tblTheoretical_Value[Investor Type])*(T$1=tblTheoretical_Value[[#Headers],[Investor Commitments]:[Non-Portfolio P&amp;L Activity]])*tblTheoretical_Value[[Investor Commitments]:[Non-Portfolio P&amp;L Activity]])</f>
        <v>154847.65</v>
      </c>
      <c r="U19" s="63">
        <f t="shared" si="15"/>
        <v>-11573.573999999993</v>
      </c>
      <c r="V19" s="51"/>
      <c r="W19" s="61">
        <f t="shared" si="16"/>
        <v>-11573.574000000011</v>
      </c>
      <c r="X19" s="61">
        <f t="array" ref="X19">SUMPRODUCT(($A19=tblTheoretical_Value[Investor])*($C19=tblTheoretical_Value[Investor Type])*(X$1=tblTheoretical_Value[[#Headers],[Investor Commitments]:[Non-Portfolio P&amp;L Activity]])*tblTheoretical_Value[[Investor Commitments]:[Non-Portfolio P&amp;L Activity]])</f>
        <v>0</v>
      </c>
      <c r="Y19" s="63">
        <f t="shared" si="10"/>
        <v>-11573.574000000011</v>
      </c>
      <c r="Z19" s="63">
        <f t="shared" si="17"/>
        <v>0</v>
      </c>
      <c r="AA19" s="51"/>
      <c r="AB19" s="60">
        <f t="shared" si="18"/>
        <v>0.19999999999999998</v>
      </c>
      <c r="AC19" s="60">
        <f t="shared" si="19"/>
        <v>0.8</v>
      </c>
      <c r="AD19" s="60">
        <f t="shared" si="20"/>
        <v>0.19999999999999998</v>
      </c>
      <c r="AE19" s="60">
        <f t="shared" si="21"/>
        <v>0.79999999999999993</v>
      </c>
      <c r="AF19" s="60">
        <f t="shared" si="22"/>
        <v>0.20000000000000021</v>
      </c>
    </row>
    <row r="20" spans="1:32" s="52" customFormat="1" ht="15" x14ac:dyDescent="0.25">
      <c r="A20" s="53" t="s">
        <v>80</v>
      </c>
      <c r="B20" s="54">
        <v>8389</v>
      </c>
      <c r="C20" s="55" t="s">
        <v>4</v>
      </c>
      <c r="D20" s="56"/>
      <c r="E20" s="61">
        <f t="array" ref="E20">SUMPRODUCT(($A20=tblTheoretical_Value[Investor])*($C20=tblTheoretical_Value[Investor Type])*(E$1=tblTheoretical_Value[[#Headers],[Investor Commitments]:[Non-Portfolio P&amp;L Activity]])*tblTheoretical_Value[[Investor Commitments]:[Non-Portfolio P&amp;L Activity]])</f>
        <v>353307.53</v>
      </c>
      <c r="F20" s="61">
        <f t="array" ref="F20">SUMPRODUCT(($A20=tblTheoretical_Value[Investor])*($C20=tblTheoretical_Value[Investor Type])*(F$1=tblTheoretical_Value[[#Headers],[Investor Commitments]:[Accumulated Earnings, gross of Carried Interest and net of Syndication Costs]])*tblTheoretical_Value[[Investor Commitments]:[Accumulated Earnings, gross of Carried Interest and net of Syndication Costs]])</f>
        <v>46447.509999999995</v>
      </c>
      <c r="G20" s="62">
        <f t="shared" si="11"/>
        <v>399755.04000000004</v>
      </c>
      <c r="H20" s="51"/>
      <c r="I20" s="61">
        <f t="shared" si="12"/>
        <v>353307.53</v>
      </c>
      <c r="J20" s="63">
        <f>MIN(($G20-$I20),SUMPRODUCT(--($A20=tblPref[Investor])*tblPref[Preferred Return]))</f>
        <v>29947.64</v>
      </c>
      <c r="K20" s="63">
        <f t="shared" si="5"/>
        <v>7986.0373333333355</v>
      </c>
      <c r="L20" s="63">
        <f t="shared" si="6"/>
        <v>1996.5093333333334</v>
      </c>
      <c r="M20" s="63">
        <f t="shared" si="7"/>
        <v>1303.4646666666611</v>
      </c>
      <c r="N20" s="63">
        <f t="shared" si="8"/>
        <v>5213.8586666666442</v>
      </c>
      <c r="O20" s="63">
        <f t="shared" si="13"/>
        <v>0</v>
      </c>
      <c r="P20" s="51"/>
      <c r="Q20" s="62">
        <f t="shared" si="14"/>
        <v>390465.53800000006</v>
      </c>
      <c r="R20" s="61">
        <f t="array" ref="R20">SUMPRODUCT(($A20=tblTheoretical_Value[Investor])*($C20=tblTheoretical_Value[Investor Type])*(R$1=tblTheoretical_Value[[#Headers],[Investor Commitments]:[Non-Portfolio P&amp;L Activity]])*tblTheoretical_Value[[Investor Commitments]:[Non-Portfolio P&amp;L Activity]])</f>
        <v>-281803.06</v>
      </c>
      <c r="S20" s="62">
        <f t="shared" si="9"/>
        <v>108662.47800000006</v>
      </c>
      <c r="T20" s="61">
        <f t="array" ref="T20">SUMPRODUCT(($A20=tblTheoretical_Value[Investor])*($C20=tblTheoretical_Value[Investor Type])*(T$1=tblTheoretical_Value[[#Headers],[Investor Commitments]:[Non-Portfolio P&amp;L Activity]])*tblTheoretical_Value[[Investor Commitments]:[Non-Portfolio P&amp;L Activity]])</f>
        <v>117951.98</v>
      </c>
      <c r="U20" s="63">
        <f t="shared" si="15"/>
        <v>-9289.5019999999349</v>
      </c>
      <c r="V20" s="51"/>
      <c r="W20" s="61">
        <f t="shared" si="16"/>
        <v>-9289.5019999999968</v>
      </c>
      <c r="X20" s="61">
        <f t="array" ref="X20">SUMPRODUCT(($A20=tblTheoretical_Value[Investor])*($C20=tblTheoretical_Value[Investor Type])*(X$1=tblTheoretical_Value[[#Headers],[Investor Commitments]:[Non-Portfolio P&amp;L Activity]])*tblTheoretical_Value[[Investor Commitments]:[Non-Portfolio P&amp;L Activity]])</f>
        <v>0</v>
      </c>
      <c r="Y20" s="63">
        <f t="shared" si="10"/>
        <v>-9289.5019999999968</v>
      </c>
      <c r="Z20" s="63">
        <f t="shared" si="17"/>
        <v>0</v>
      </c>
      <c r="AA20" s="51"/>
      <c r="AB20" s="60">
        <f t="shared" si="18"/>
        <v>0.20000000000000004</v>
      </c>
      <c r="AC20" s="60">
        <f t="shared" si="19"/>
        <v>0.8</v>
      </c>
      <c r="AD20" s="60">
        <f t="shared" si="20"/>
        <v>0.19999999999999998</v>
      </c>
      <c r="AE20" s="60">
        <f t="shared" si="21"/>
        <v>0.79999999999999993</v>
      </c>
      <c r="AF20" s="60">
        <f t="shared" si="22"/>
        <v>0.1999999999999999</v>
      </c>
    </row>
    <row r="21" spans="1:32" s="52" customFormat="1" ht="15" x14ac:dyDescent="0.25">
      <c r="A21" s="53" t="s">
        <v>81</v>
      </c>
      <c r="B21" s="54">
        <v>8388</v>
      </c>
      <c r="C21" s="55" t="s">
        <v>4</v>
      </c>
      <c r="D21" s="56"/>
      <c r="E21" s="61">
        <f t="array" ref="E21">SUMPRODUCT(($A21=tblTheoretical_Value[Investor])*($C21=tblTheoretical_Value[Investor Type])*(E$1=tblTheoretical_Value[[#Headers],[Investor Commitments]:[Non-Portfolio P&amp;L Activity]])*tblTheoretical_Value[[Investor Commitments]:[Non-Portfolio P&amp;L Activity]])</f>
        <v>20467.259999999998</v>
      </c>
      <c r="F21" s="61">
        <f t="array" ref="F21">SUMPRODUCT(($A21=tblTheoretical_Value[Investor])*($C21=tblTheoretical_Value[Investor Type])*(F$1=tblTheoretical_Value[[#Headers],[Investor Commitments]:[Accumulated Earnings, gross of Carried Interest and net of Syndication Costs]])*tblTheoretical_Value[[Investor Commitments]:[Accumulated Earnings, gross of Carried Interest and net of Syndication Costs]])</f>
        <v>3046.6899999999996</v>
      </c>
      <c r="G21" s="62">
        <f t="shared" si="11"/>
        <v>23513.949999999997</v>
      </c>
      <c r="H21" s="51"/>
      <c r="I21" s="61">
        <f t="shared" si="12"/>
        <v>20467.259999999998</v>
      </c>
      <c r="J21" s="63">
        <f>MIN(($G21-$I21),SUMPRODUCT(--($A21=tblPref[Investor])*tblPref[Preferred Return]))</f>
        <v>1981.28</v>
      </c>
      <c r="K21" s="63">
        <f t="shared" si="5"/>
        <v>528.34133333333318</v>
      </c>
      <c r="L21" s="63">
        <f t="shared" si="6"/>
        <v>132.08533333333327</v>
      </c>
      <c r="M21" s="63">
        <f t="shared" si="7"/>
        <v>80.996666666666727</v>
      </c>
      <c r="N21" s="63">
        <f t="shared" si="8"/>
        <v>323.98666666666691</v>
      </c>
      <c r="O21" s="63">
        <f t="shared" si="13"/>
        <v>0</v>
      </c>
      <c r="P21" s="51"/>
      <c r="Q21" s="62">
        <f t="shared" si="14"/>
        <v>22904.611999999997</v>
      </c>
      <c r="R21" s="61">
        <f t="array" ref="R21">SUMPRODUCT(($A21=tblTheoretical_Value[Investor])*($C21=tblTheoretical_Value[Investor Type])*(R$1=tblTheoretical_Value[[#Headers],[Investor Commitments]:[Non-Portfolio P&amp;L Activity]])*tblTheoretical_Value[[Investor Commitments]:[Non-Portfolio P&amp;L Activity]])</f>
        <v>-21697.7</v>
      </c>
      <c r="S21" s="62">
        <f t="shared" si="9"/>
        <v>1206.9119999999966</v>
      </c>
      <c r="T21" s="61">
        <f t="array" ref="T21">SUMPRODUCT(($A21=tblTheoretical_Value[Investor])*($C21=tblTheoretical_Value[Investor Type])*(T$1=tblTheoretical_Value[[#Headers],[Investor Commitments]:[Non-Portfolio P&amp;L Activity]])*tblTheoretical_Value[[Investor Commitments]:[Non-Portfolio P&amp;L Activity]])</f>
        <v>1816.25</v>
      </c>
      <c r="U21" s="63">
        <f t="shared" si="15"/>
        <v>-609.33800000000338</v>
      </c>
      <c r="V21" s="51"/>
      <c r="W21" s="61">
        <f t="shared" si="16"/>
        <v>-609.33799999999997</v>
      </c>
      <c r="X21" s="61">
        <f t="array" ref="X21">SUMPRODUCT(($A21=tblTheoretical_Value[Investor])*($C21=tblTheoretical_Value[Investor Type])*(X$1=tblTheoretical_Value[[#Headers],[Investor Commitments]:[Non-Portfolio P&amp;L Activity]])*tblTheoretical_Value[[Investor Commitments]:[Non-Portfolio P&amp;L Activity]])</f>
        <v>0</v>
      </c>
      <c r="Y21" s="63">
        <f t="shared" si="10"/>
        <v>-609.33799999999997</v>
      </c>
      <c r="Z21" s="63">
        <f t="shared" si="17"/>
        <v>0</v>
      </c>
      <c r="AA21" s="51"/>
      <c r="AB21" s="60">
        <f t="shared" si="18"/>
        <v>0.19999999999999996</v>
      </c>
      <c r="AC21" s="60">
        <f t="shared" si="19"/>
        <v>0.8</v>
      </c>
      <c r="AD21" s="60">
        <f t="shared" si="20"/>
        <v>0.2</v>
      </c>
      <c r="AE21" s="60">
        <f t="shared" si="21"/>
        <v>0.8</v>
      </c>
      <c r="AF21" s="60">
        <f t="shared" si="22"/>
        <v>0.20000000000000007</v>
      </c>
    </row>
    <row r="22" spans="1:32" s="52" customFormat="1" ht="15" x14ac:dyDescent="0.25">
      <c r="A22" s="53" t="s">
        <v>82</v>
      </c>
      <c r="B22" s="54">
        <v>8365</v>
      </c>
      <c r="C22" s="55" t="s">
        <v>4</v>
      </c>
      <c r="D22" s="56"/>
      <c r="E22" s="61">
        <f t="array" ref="E22">SUMPRODUCT(($A22=tblTheoretical_Value[Investor])*($C22=tblTheoretical_Value[Investor Type])*(E$1=tblTheoretical_Value[[#Headers],[Investor Commitments]:[Non-Portfolio P&amp;L Activity]])*tblTheoretical_Value[[Investor Commitments]:[Non-Portfolio P&amp;L Activity]])</f>
        <v>0</v>
      </c>
      <c r="F22" s="61">
        <f t="array" ref="F22">SUMPRODUCT(($A22=tblTheoretical_Value[Investor])*($C22=tblTheoretical_Value[Investor Type])*(F$1=tblTheoretical_Value[[#Headers],[Investor Commitments]:[Accumulated Earnings, gross of Carried Interest and net of Syndication Costs]])*tblTheoretical_Value[[Investor Commitments]:[Accumulated Earnings, gross of Carried Interest and net of Syndication Costs]])</f>
        <v>9189.19</v>
      </c>
      <c r="G22" s="62">
        <f t="shared" si="11"/>
        <v>9189.19</v>
      </c>
      <c r="H22" s="51"/>
      <c r="I22" s="61">
        <f t="shared" si="12"/>
        <v>0</v>
      </c>
      <c r="J22" s="63">
        <f>MIN(($G22-$I22),SUMPRODUCT(--($A22=tblPref[Investor])*tblPref[Preferred Return]))</f>
        <v>0</v>
      </c>
      <c r="K22" s="63">
        <f t="shared" si="5"/>
        <v>0</v>
      </c>
      <c r="L22" s="63">
        <f t="shared" si="6"/>
        <v>0</v>
      </c>
      <c r="M22" s="63">
        <f t="shared" si="7"/>
        <v>1837.8380000000002</v>
      </c>
      <c r="N22" s="63">
        <f t="shared" si="8"/>
        <v>7351.3520000000008</v>
      </c>
      <c r="O22" s="63">
        <f t="shared" si="13"/>
        <v>0</v>
      </c>
      <c r="P22" s="51"/>
      <c r="Q22" s="62">
        <f t="shared" si="14"/>
        <v>7351.3520000000008</v>
      </c>
      <c r="R22" s="61">
        <f t="array" ref="R22">SUMPRODUCT(($A22=tblTheoretical_Value[Investor])*($C22=tblTheoretical_Value[Investor Type])*(R$1=tblTheoretical_Value[[#Headers],[Investor Commitments]:[Non-Portfolio P&amp;L Activity]])*tblTheoretical_Value[[Investor Commitments]:[Non-Portfolio P&amp;L Activity]])</f>
        <v>-36036.04</v>
      </c>
      <c r="S22" s="62">
        <f t="shared" si="9"/>
        <v>-28684.688000000002</v>
      </c>
      <c r="T22" s="61">
        <f t="array" ref="T22">SUMPRODUCT(($A22=tblTheoretical_Value[Investor])*($C22=tblTheoretical_Value[Investor Type])*(T$1=tblTheoretical_Value[[#Headers],[Investor Commitments]:[Non-Portfolio P&amp;L Activity]])*tblTheoretical_Value[[Investor Commitments]:[Non-Portfolio P&amp;L Activity]])</f>
        <v>-26846.85</v>
      </c>
      <c r="U22" s="63">
        <f t="shared" si="15"/>
        <v>-1837.8380000000034</v>
      </c>
      <c r="V22" s="51"/>
      <c r="W22" s="61">
        <f t="shared" si="16"/>
        <v>-1837.8380000000002</v>
      </c>
      <c r="X22" s="61">
        <f t="array" ref="X22">SUMPRODUCT(($A22=tblTheoretical_Value[Investor])*($C22=tblTheoretical_Value[Investor Type])*(X$1=tblTheoretical_Value[[#Headers],[Investor Commitments]:[Non-Portfolio P&amp;L Activity]])*tblTheoretical_Value[[Investor Commitments]:[Non-Portfolio P&amp;L Activity]])</f>
        <v>0</v>
      </c>
      <c r="Y22" s="63">
        <f t="shared" si="10"/>
        <v>-1837.8380000000002</v>
      </c>
      <c r="Z22" s="63">
        <f t="shared" si="17"/>
        <v>0</v>
      </c>
      <c r="AA22" s="51"/>
      <c r="AB22" s="60" t="str">
        <f t="shared" si="18"/>
        <v/>
      </c>
      <c r="AC22" s="60" t="str">
        <f t="shared" si="19"/>
        <v/>
      </c>
      <c r="AD22" s="60">
        <f t="shared" si="20"/>
        <v>0.2</v>
      </c>
      <c r="AE22" s="60">
        <f t="shared" si="21"/>
        <v>0.8</v>
      </c>
      <c r="AF22" s="60">
        <f t="shared" si="22"/>
        <v>0.2</v>
      </c>
    </row>
    <row r="23" spans="1:32" s="52" customFormat="1" ht="15" x14ac:dyDescent="0.25">
      <c r="A23" s="53" t="s">
        <v>83</v>
      </c>
      <c r="B23" s="54">
        <v>8394</v>
      </c>
      <c r="C23" s="55" t="s">
        <v>4</v>
      </c>
      <c r="D23" s="56"/>
      <c r="E23" s="61">
        <f t="array" ref="E23">SUMPRODUCT(($A23=tblTheoretical_Value[Investor])*($C23=tblTheoretical_Value[Investor Type])*(E$1=tblTheoretical_Value[[#Headers],[Investor Commitments]:[Non-Portfolio P&amp;L Activity]])*tblTheoretical_Value[[Investor Commitments]:[Non-Portfolio P&amp;L Activity]])</f>
        <v>7679029.9500000002</v>
      </c>
      <c r="F23" s="61">
        <f t="array" ref="F23">SUMPRODUCT(($A23=tblTheoretical_Value[Investor])*($C23=tblTheoretical_Value[Investor Type])*(F$1=tblTheoretical_Value[[#Headers],[Investor Commitments]:[Accumulated Earnings, gross of Carried Interest and net of Syndication Costs]])*tblTheoretical_Value[[Investor Commitments]:[Accumulated Earnings, gross of Carried Interest and net of Syndication Costs]])</f>
        <v>1141011.9100000001</v>
      </c>
      <c r="G23" s="62">
        <f t="shared" si="11"/>
        <v>8820041.8599999994</v>
      </c>
      <c r="H23" s="51"/>
      <c r="I23" s="61">
        <f t="shared" si="12"/>
        <v>7679029.9500000002</v>
      </c>
      <c r="J23" s="63">
        <f>MIN(($G23-$I23),SUMPRODUCT(--($A23=tblPref[Investor])*tblPref[Preferred Return]))</f>
        <v>741926.84000000008</v>
      </c>
      <c r="K23" s="63">
        <f t="shared" si="5"/>
        <v>197847.15733333334</v>
      </c>
      <c r="L23" s="63">
        <f t="shared" si="6"/>
        <v>49461.78933333332</v>
      </c>
      <c r="M23" s="63">
        <f t="shared" si="7"/>
        <v>30355.22466666624</v>
      </c>
      <c r="N23" s="63">
        <f t="shared" si="8"/>
        <v>121420.89866666496</v>
      </c>
      <c r="O23" s="63">
        <f t="shared" si="13"/>
        <v>0</v>
      </c>
      <c r="P23" s="51"/>
      <c r="Q23" s="62">
        <f t="shared" si="14"/>
        <v>8591839.4780000001</v>
      </c>
      <c r="R23" s="61">
        <f t="array" ref="R23">SUMPRODUCT(($A23=tblTheoretical_Value[Investor])*($C23=tblTheoretical_Value[Investor Type])*(R$1=tblTheoretical_Value[[#Headers],[Investor Commitments]:[Non-Portfolio P&amp;L Activity]])*tblTheoretical_Value[[Investor Commitments]:[Non-Portfolio P&amp;L Activity]])</f>
        <v>-8109773.1399999997</v>
      </c>
      <c r="S23" s="62">
        <f t="shared" si="9"/>
        <v>482066.33800000045</v>
      </c>
      <c r="T23" s="61">
        <f t="array" ref="T23">SUMPRODUCT(($A23=tblTheoretical_Value[Investor])*($C23=tblTheoretical_Value[Investor Type])*(T$1=tblTheoretical_Value[[#Headers],[Investor Commitments]:[Non-Portfolio P&amp;L Activity]])*tblTheoretical_Value[[Investor Commitments]:[Non-Portfolio P&amp;L Activity]])</f>
        <v>710268.72</v>
      </c>
      <c r="U23" s="63">
        <f t="shared" si="15"/>
        <v>-228202.38199999952</v>
      </c>
      <c r="V23" s="51"/>
      <c r="W23" s="61">
        <f t="shared" si="16"/>
        <v>-228202.38199999958</v>
      </c>
      <c r="X23" s="61">
        <f t="array" ref="X23">SUMPRODUCT(($A23=tblTheoretical_Value[Investor])*($C23=tblTheoretical_Value[Investor Type])*(X$1=tblTheoretical_Value[[#Headers],[Investor Commitments]:[Non-Portfolio P&amp;L Activity]])*tblTheoretical_Value[[Investor Commitments]:[Non-Portfolio P&amp;L Activity]])</f>
        <v>0</v>
      </c>
      <c r="Y23" s="63">
        <f t="shared" si="10"/>
        <v>-228202.38199999958</v>
      </c>
      <c r="Z23" s="63">
        <f t="shared" si="17"/>
        <v>0</v>
      </c>
      <c r="AA23" s="51"/>
      <c r="AB23" s="60">
        <f t="shared" si="18"/>
        <v>0.2</v>
      </c>
      <c r="AC23" s="60">
        <f t="shared" si="19"/>
        <v>0.8</v>
      </c>
      <c r="AD23" s="60">
        <f t="shared" si="20"/>
        <v>0.2</v>
      </c>
      <c r="AE23" s="60">
        <f t="shared" si="21"/>
        <v>0.8</v>
      </c>
      <c r="AF23" s="60">
        <f t="shared" si="22"/>
        <v>0.19999999999999976</v>
      </c>
    </row>
    <row r="24" spans="1:32" s="52" customFormat="1" ht="15" x14ac:dyDescent="0.25">
      <c r="A24" s="53" t="s">
        <v>84</v>
      </c>
      <c r="B24" s="54">
        <v>8393</v>
      </c>
      <c r="C24" s="55" t="s">
        <v>4</v>
      </c>
      <c r="D24" s="56"/>
      <c r="E24" s="61">
        <f t="array" ref="E24">SUMPRODUCT(($A24=tblTheoretical_Value[Investor])*($C24=tblTheoretical_Value[Investor Type])*(E$1=tblTheoretical_Value[[#Headers],[Investor Commitments]:[Non-Portfolio P&amp;L Activity]])*tblTheoretical_Value[[Investor Commitments]:[Non-Portfolio P&amp;L Activity]])</f>
        <v>122802.25</v>
      </c>
      <c r="F24" s="61">
        <f t="array" ref="F24">SUMPRODUCT(($A24=tblTheoretical_Value[Investor])*($C24=tblTheoretical_Value[Investor Type])*(F$1=tblTheoretical_Value[[#Headers],[Investor Commitments]:[Accumulated Earnings, gross of Carried Interest and net of Syndication Costs]])*tblTheoretical_Value[[Investor Commitments]:[Accumulated Earnings, gross of Carried Interest and net of Syndication Costs]])</f>
        <v>18279.72</v>
      </c>
      <c r="G24" s="62">
        <f t="shared" si="11"/>
        <v>141081.97</v>
      </c>
      <c r="H24" s="51"/>
      <c r="I24" s="61">
        <f t="shared" si="12"/>
        <v>122802.25</v>
      </c>
      <c r="J24" s="63">
        <f>MIN(($G24-$I24),SUMPRODUCT(--($A24=tblPref[Investor])*tblPref[Preferred Return]))</f>
        <v>11887.49</v>
      </c>
      <c r="K24" s="63">
        <f t="shared" si="5"/>
        <v>3169.9973333333328</v>
      </c>
      <c r="L24" s="63">
        <f t="shared" si="6"/>
        <v>792.49933333333297</v>
      </c>
      <c r="M24" s="63">
        <f t="shared" si="7"/>
        <v>485.94666666666745</v>
      </c>
      <c r="N24" s="63">
        <f t="shared" si="8"/>
        <v>1943.7866666666698</v>
      </c>
      <c r="O24" s="63">
        <f t="shared" si="13"/>
        <v>0</v>
      </c>
      <c r="P24" s="51"/>
      <c r="Q24" s="62">
        <f t="shared" si="14"/>
        <v>137426.02600000001</v>
      </c>
      <c r="R24" s="61">
        <f t="array" ref="R24">SUMPRODUCT(($A24=tblTheoretical_Value[Investor])*($C24=tblTheoretical_Value[Investor Type])*(R$1=tblTheoretical_Value[[#Headers],[Investor Commitments]:[Non-Portfolio P&amp;L Activity]])*tblTheoretical_Value[[Investor Commitments]:[Non-Portfolio P&amp;L Activity]])</f>
        <v>-130185.05</v>
      </c>
      <c r="S24" s="62">
        <f t="shared" si="9"/>
        <v>7240.9760000000097</v>
      </c>
      <c r="T24" s="61">
        <f t="array" ref="T24">SUMPRODUCT(($A24=tblTheoretical_Value[Investor])*($C24=tblTheoretical_Value[Investor Type])*(T$1=tblTheoretical_Value[[#Headers],[Investor Commitments]:[Non-Portfolio P&amp;L Activity]])*tblTheoretical_Value[[Investor Commitments]:[Non-Portfolio P&amp;L Activity]])</f>
        <v>10896.92</v>
      </c>
      <c r="U24" s="63">
        <f t="shared" si="15"/>
        <v>-3655.9439999999904</v>
      </c>
      <c r="V24" s="51"/>
      <c r="W24" s="61">
        <f t="shared" si="16"/>
        <v>-3655.9440000000004</v>
      </c>
      <c r="X24" s="61">
        <f t="array" ref="X24">SUMPRODUCT(($A24=tblTheoretical_Value[Investor])*($C24=tblTheoretical_Value[Investor Type])*(X$1=tblTheoretical_Value[[#Headers],[Investor Commitments]:[Non-Portfolio P&amp;L Activity]])*tblTheoretical_Value[[Investor Commitments]:[Non-Portfolio P&amp;L Activity]])</f>
        <v>0</v>
      </c>
      <c r="Y24" s="63">
        <f t="shared" si="10"/>
        <v>-3655.9440000000004</v>
      </c>
      <c r="Z24" s="63">
        <f t="shared" si="17"/>
        <v>0</v>
      </c>
      <c r="AA24" s="51"/>
      <c r="AB24" s="60">
        <f t="shared" si="18"/>
        <v>0.19999999999999998</v>
      </c>
      <c r="AC24" s="60">
        <f t="shared" si="19"/>
        <v>0.8</v>
      </c>
      <c r="AD24" s="60">
        <f t="shared" si="20"/>
        <v>0.2</v>
      </c>
      <c r="AE24" s="60">
        <f t="shared" si="21"/>
        <v>0.8</v>
      </c>
      <c r="AF24" s="60">
        <f t="shared" si="22"/>
        <v>0.2</v>
      </c>
    </row>
    <row r="25" spans="1:32" s="52" customFormat="1" ht="15" x14ac:dyDescent="0.25">
      <c r="A25" s="53" t="s">
        <v>85</v>
      </c>
      <c r="B25" s="54">
        <v>8382</v>
      </c>
      <c r="C25" s="55" t="s">
        <v>4</v>
      </c>
      <c r="D25" s="56"/>
      <c r="E25" s="61">
        <f t="array" ref="E25">SUMPRODUCT(($A25=tblTheoretical_Value[Investor])*($C25=tblTheoretical_Value[Investor Type])*(E$1=tblTheoretical_Value[[#Headers],[Investor Commitments]:[Non-Portfolio P&amp;L Activity]])*tblTheoretical_Value[[Investor Commitments]:[Non-Portfolio P&amp;L Activity]])</f>
        <v>3240885.25</v>
      </c>
      <c r="F25" s="61">
        <f t="array" ref="F25">SUMPRODUCT(($A25=tblTheoretical_Value[Investor])*($C25=tblTheoretical_Value[Investor Type])*(F$1=tblTheoretical_Value[[#Headers],[Investor Commitments]:[Accumulated Earnings, gross of Carried Interest and net of Syndication Costs]])*tblTheoretical_Value[[Investor Commitments]:[Accumulated Earnings, gross of Carried Interest and net of Syndication Costs]])</f>
        <v>451701.05</v>
      </c>
      <c r="G25" s="62">
        <f t="shared" si="11"/>
        <v>3692586.3</v>
      </c>
      <c r="H25" s="51"/>
      <c r="I25" s="61">
        <f t="shared" si="12"/>
        <v>3240885.25</v>
      </c>
      <c r="J25" s="63">
        <f>MIN(($G25-$I25),SUMPRODUCT(--($A25=tblPref[Investor])*tblPref[Preferred Return]))</f>
        <v>292457.82</v>
      </c>
      <c r="K25" s="63">
        <f t="shared" si="5"/>
        <v>77988.752000000008</v>
      </c>
      <c r="L25" s="63">
        <f t="shared" si="6"/>
        <v>19497.187999999995</v>
      </c>
      <c r="M25" s="63">
        <f t="shared" si="7"/>
        <v>12351.458000000008</v>
      </c>
      <c r="N25" s="63">
        <f t="shared" si="8"/>
        <v>49405.832000000031</v>
      </c>
      <c r="O25" s="63">
        <f t="shared" si="13"/>
        <v>0</v>
      </c>
      <c r="P25" s="51"/>
      <c r="Q25" s="62">
        <f t="shared" si="14"/>
        <v>3602246.09</v>
      </c>
      <c r="R25" s="61">
        <f t="array" ref="R25">SUMPRODUCT(($A25=tblTheoretical_Value[Investor])*($C25=tblTheoretical_Value[Investor Type])*(R$1=tblTheoretical_Value[[#Headers],[Investor Commitments]:[Non-Portfolio P&amp;L Activity]])*tblTheoretical_Value[[Investor Commitments]:[Non-Portfolio P&amp;L Activity]])</f>
        <v>-2972000.05</v>
      </c>
      <c r="S25" s="62">
        <f t="shared" si="9"/>
        <v>630246.04</v>
      </c>
      <c r="T25" s="61">
        <f t="array" ref="T25">SUMPRODUCT(($A25=tblTheoretical_Value[Investor])*($C25=tblTheoretical_Value[Investor Type])*(T$1=tblTheoretical_Value[[#Headers],[Investor Commitments]:[Non-Portfolio P&amp;L Activity]])*tblTheoretical_Value[[Investor Commitments]:[Non-Portfolio P&amp;L Activity]])</f>
        <v>720586.25</v>
      </c>
      <c r="U25" s="63">
        <f t="shared" si="15"/>
        <v>-90340.209999999963</v>
      </c>
      <c r="V25" s="51"/>
      <c r="W25" s="61">
        <f t="shared" si="16"/>
        <v>-90340.210000000021</v>
      </c>
      <c r="X25" s="61">
        <f t="array" ref="X25">SUMPRODUCT(($A25=tblTheoretical_Value[Investor])*($C25=tblTheoretical_Value[Investor Type])*(X$1=tblTheoretical_Value[[#Headers],[Investor Commitments]:[Non-Portfolio P&amp;L Activity]])*tblTheoretical_Value[[Investor Commitments]:[Non-Portfolio P&amp;L Activity]])</f>
        <v>0</v>
      </c>
      <c r="Y25" s="63">
        <f t="shared" si="10"/>
        <v>-90340.210000000021</v>
      </c>
      <c r="Z25" s="63">
        <f t="shared" si="17"/>
        <v>0</v>
      </c>
      <c r="AA25" s="51"/>
      <c r="AB25" s="60">
        <f t="shared" si="18"/>
        <v>0.2</v>
      </c>
      <c r="AC25" s="60">
        <f t="shared" si="19"/>
        <v>0.8</v>
      </c>
      <c r="AD25" s="60">
        <f t="shared" si="20"/>
        <v>0.2</v>
      </c>
      <c r="AE25" s="60">
        <f t="shared" si="21"/>
        <v>0.8</v>
      </c>
      <c r="AF25" s="60">
        <f t="shared" si="22"/>
        <v>0.20000000000000012</v>
      </c>
    </row>
    <row r="26" spans="1:32" s="52" customFormat="1" ht="15" x14ac:dyDescent="0.25">
      <c r="A26" s="53" t="s">
        <v>86</v>
      </c>
      <c r="B26" s="54">
        <v>8403</v>
      </c>
      <c r="C26" s="55" t="s">
        <v>4</v>
      </c>
      <c r="D26" s="56"/>
      <c r="E26" s="61">
        <f t="array" ref="E26">SUMPRODUCT(($A26=tblTheoretical_Value[Investor])*($C26=tblTheoretical_Value[Investor Type])*(E$1=tblTheoretical_Value[[#Headers],[Investor Commitments]:[Non-Portfolio P&amp;L Activity]])*tblTheoretical_Value[[Investor Commitments]:[Non-Portfolio P&amp;L Activity]])</f>
        <v>6306736</v>
      </c>
      <c r="F26" s="61">
        <f t="array" ref="F26">SUMPRODUCT(($A26=tblTheoretical_Value[Investor])*($C26=tblTheoretical_Value[Investor Type])*(F$1=tblTheoretical_Value[[#Headers],[Investor Commitments]:[Accumulated Earnings, gross of Carried Interest and net of Syndication Costs]])*tblTheoretical_Value[[Investor Commitments]:[Accumulated Earnings, gross of Carried Interest and net of Syndication Costs]])</f>
        <v>938787.03999999992</v>
      </c>
      <c r="G26" s="62">
        <f t="shared" si="11"/>
        <v>7245523.04</v>
      </c>
      <c r="H26" s="51"/>
      <c r="I26" s="61">
        <f t="shared" si="12"/>
        <v>6306736</v>
      </c>
      <c r="J26" s="63">
        <f>MIN(($G26-$I26),SUMPRODUCT(--($A26=tblPref[Investor])*tblPref[Preferred Return]))</f>
        <v>610503.93000000005</v>
      </c>
      <c r="K26" s="63">
        <f t="shared" si="5"/>
        <v>162801.04800000007</v>
      </c>
      <c r="L26" s="63">
        <f t="shared" si="6"/>
        <v>40700.262000000002</v>
      </c>
      <c r="M26" s="63">
        <f t="shared" si="7"/>
        <v>24956.359999999964</v>
      </c>
      <c r="N26" s="63">
        <f t="shared" si="8"/>
        <v>99825.439999999857</v>
      </c>
      <c r="O26" s="63">
        <f t="shared" si="13"/>
        <v>0</v>
      </c>
      <c r="P26" s="51"/>
      <c r="Q26" s="62">
        <f t="shared" si="14"/>
        <v>7057765.6319999993</v>
      </c>
      <c r="R26" s="61">
        <f t="array" ref="R26">SUMPRODUCT(($A26=tblTheoretical_Value[Investor])*($C26=tblTheoretical_Value[Investor Type])*(R$1=tblTheoretical_Value[[#Headers],[Investor Commitments]:[Non-Portfolio P&amp;L Activity]])*tblTheoretical_Value[[Investor Commitments]:[Non-Portfolio P&amp;L Activity]])</f>
        <v>-6685892.6799999997</v>
      </c>
      <c r="S26" s="62">
        <f t="shared" si="9"/>
        <v>371872.95199999958</v>
      </c>
      <c r="T26" s="61">
        <f t="array" ref="T26">SUMPRODUCT(($A26=tblTheoretical_Value[Investor])*($C26=tblTheoretical_Value[Investor Type])*(T$1=tblTheoretical_Value[[#Headers],[Investor Commitments]:[Non-Portfolio P&amp;L Activity]])*tblTheoretical_Value[[Investor Commitments]:[Non-Portfolio P&amp;L Activity]])</f>
        <v>559630.36</v>
      </c>
      <c r="U26" s="63">
        <f t="shared" si="15"/>
        <v>-187757.4080000004</v>
      </c>
      <c r="V26" s="51"/>
      <c r="W26" s="61">
        <f t="shared" si="16"/>
        <v>-187757.40800000002</v>
      </c>
      <c r="X26" s="61">
        <f t="array" ref="X26">SUMPRODUCT(($A26=tblTheoretical_Value[Investor])*($C26=tblTheoretical_Value[Investor Type])*(X$1=tblTheoretical_Value[[#Headers],[Investor Commitments]:[Non-Portfolio P&amp;L Activity]])*tblTheoretical_Value[[Investor Commitments]:[Non-Portfolio P&amp;L Activity]])</f>
        <v>0</v>
      </c>
      <c r="Y26" s="63">
        <f t="shared" si="10"/>
        <v>-187757.40800000002</v>
      </c>
      <c r="Z26" s="63">
        <f t="shared" si="17"/>
        <v>0</v>
      </c>
      <c r="AA26" s="51"/>
      <c r="AB26" s="60">
        <f t="shared" si="18"/>
        <v>0.20000000000000007</v>
      </c>
      <c r="AC26" s="60">
        <f t="shared" si="19"/>
        <v>0.79999999999999993</v>
      </c>
      <c r="AD26" s="60">
        <f t="shared" si="20"/>
        <v>0.2</v>
      </c>
      <c r="AE26" s="60">
        <f t="shared" si="21"/>
        <v>0.8</v>
      </c>
      <c r="AF26" s="60">
        <f t="shared" si="22"/>
        <v>0.2</v>
      </c>
    </row>
    <row r="27" spans="1:32" s="52" customFormat="1" ht="15" x14ac:dyDescent="0.25">
      <c r="A27" s="53" t="s">
        <v>87</v>
      </c>
      <c r="B27" s="54">
        <v>8367</v>
      </c>
      <c r="C27" s="55" t="s">
        <v>4</v>
      </c>
      <c r="D27" s="56"/>
      <c r="E27" s="61">
        <f t="array" ref="E27">SUMPRODUCT(($A27=tblTheoretical_Value[Investor])*($C27=tblTheoretical_Value[Investor Type])*(E$1=tblTheoretical_Value[[#Headers],[Investor Commitments]:[Non-Portfolio P&amp;L Activity]])*tblTheoretical_Value[[Investor Commitments]:[Non-Portfolio P&amp;L Activity]])</f>
        <v>332840.27</v>
      </c>
      <c r="F27" s="61">
        <f t="array" ref="F27">SUMPRODUCT(($A27=tblTheoretical_Value[Investor])*($C27=tblTheoretical_Value[Investor Type])*(F$1=tblTheoretical_Value[[#Headers],[Investor Commitments]:[Accumulated Earnings, gross of Carried Interest and net of Syndication Costs]])*tblTheoretical_Value[[Investor Commitments]:[Accumulated Earnings, gross of Carried Interest and net of Syndication Costs]])</f>
        <v>43400.82</v>
      </c>
      <c r="G27" s="62">
        <f t="shared" si="11"/>
        <v>376241.09</v>
      </c>
      <c r="H27" s="51"/>
      <c r="I27" s="61">
        <f t="shared" si="12"/>
        <v>332840.27</v>
      </c>
      <c r="J27" s="63">
        <f>MIN(($G27-$I27),SUMPRODUCT(--($A27=tblPref[Investor])*tblPref[Preferred Return]))</f>
        <v>27966.359999999997</v>
      </c>
      <c r="K27" s="63">
        <f t="shared" si="5"/>
        <v>7457.6959999999999</v>
      </c>
      <c r="L27" s="63">
        <f t="shared" si="6"/>
        <v>1864.4239999999993</v>
      </c>
      <c r="M27" s="63">
        <f t="shared" si="7"/>
        <v>1222.4680000000051</v>
      </c>
      <c r="N27" s="63">
        <f t="shared" si="8"/>
        <v>4889.8720000000203</v>
      </c>
      <c r="O27" s="63">
        <f t="shared" si="13"/>
        <v>0</v>
      </c>
      <c r="P27" s="51"/>
      <c r="Q27" s="62">
        <f t="shared" si="14"/>
        <v>367560.92600000004</v>
      </c>
      <c r="R27" s="61">
        <f t="array" ref="R27">SUMPRODUCT(($A27=tblTheoretical_Value[Investor])*($C27=tblTheoretical_Value[Investor Type])*(R$1=tblTheoretical_Value[[#Headers],[Investor Commitments]:[Non-Portfolio P&amp;L Activity]])*tblTheoretical_Value[[Investor Commitments]:[Non-Portfolio P&amp;L Activity]])</f>
        <v>-260105.36</v>
      </c>
      <c r="S27" s="62">
        <f t="shared" si="9"/>
        <v>107455.56600000005</v>
      </c>
      <c r="T27" s="61">
        <f t="array" ref="T27">SUMPRODUCT(($A27=tblTheoretical_Value[Investor])*($C27=tblTheoretical_Value[Investor Type])*(T$1=tblTheoretical_Value[[#Headers],[Investor Commitments]:[Non-Portfolio P&amp;L Activity]])*tblTheoretical_Value[[Investor Commitments]:[Non-Portfolio P&amp;L Activity]])</f>
        <v>116135.73</v>
      </c>
      <c r="U27" s="63">
        <f t="shared" si="15"/>
        <v>-8680.1639999999461</v>
      </c>
      <c r="V27" s="51"/>
      <c r="W27" s="61">
        <f t="shared" si="16"/>
        <v>-8680.1640000000043</v>
      </c>
      <c r="X27" s="61">
        <f t="array" ref="X27">SUMPRODUCT(($A27=tblTheoretical_Value[Investor])*($C27=tblTheoretical_Value[Investor Type])*(X$1=tblTheoretical_Value[[#Headers],[Investor Commitments]:[Non-Portfolio P&amp;L Activity]])*tblTheoretical_Value[[Investor Commitments]:[Non-Portfolio P&amp;L Activity]])</f>
        <v>0</v>
      </c>
      <c r="Y27" s="63">
        <f t="shared" si="10"/>
        <v>-8680.1640000000043</v>
      </c>
      <c r="Z27" s="63">
        <f t="shared" si="17"/>
        <v>0</v>
      </c>
      <c r="AA27" s="51"/>
      <c r="AB27" s="60">
        <f t="shared" si="18"/>
        <v>0.2</v>
      </c>
      <c r="AC27" s="60">
        <f t="shared" si="19"/>
        <v>0.79999999999999993</v>
      </c>
      <c r="AD27" s="60">
        <f t="shared" si="20"/>
        <v>0.19999999999999998</v>
      </c>
      <c r="AE27" s="60">
        <f t="shared" si="21"/>
        <v>0.79999999999999993</v>
      </c>
      <c r="AF27" s="60">
        <f t="shared" si="22"/>
        <v>0.20000000000000007</v>
      </c>
    </row>
    <row r="28" spans="1:32" s="52" customFormat="1" ht="15" x14ac:dyDescent="0.25">
      <c r="A28" s="53" t="s">
        <v>88</v>
      </c>
      <c r="B28" s="54">
        <v>8385</v>
      </c>
      <c r="C28" s="55" t="s">
        <v>4</v>
      </c>
      <c r="D28" s="56"/>
      <c r="E28" s="61">
        <f t="array" ref="E28">SUMPRODUCT(($A28=tblTheoretical_Value[Investor])*($C28=tblTheoretical_Value[Investor Type])*(E$1=tblTheoretical_Value[[#Headers],[Investor Commitments]:[Non-Portfolio P&amp;L Activity]])*tblTheoretical_Value[[Investor Commitments]:[Non-Portfolio P&amp;L Activity]])</f>
        <v>333651.31</v>
      </c>
      <c r="F28" s="61">
        <f t="array" ref="F28">SUMPRODUCT(($A28=tblTheoretical_Value[Investor])*($C28=tblTheoretical_Value[Investor Type])*(F$1=tblTheoretical_Value[[#Headers],[Investor Commitments]:[Accumulated Earnings, gross of Carried Interest and net of Syndication Costs]])*tblTheoretical_Value[[Investor Commitments]:[Accumulated Earnings, gross of Carried Interest and net of Syndication Costs]])</f>
        <v>44545.429999999993</v>
      </c>
      <c r="G28" s="62">
        <f t="shared" si="11"/>
        <v>378196.74</v>
      </c>
      <c r="H28" s="51"/>
      <c r="I28" s="61">
        <f t="shared" si="12"/>
        <v>333651.31</v>
      </c>
      <c r="J28" s="63">
        <f>MIN(($G28-$I28),SUMPRODUCT(--($A28=tblPref[Investor])*tblPref[Preferred Return]))</f>
        <v>28753.74</v>
      </c>
      <c r="K28" s="63">
        <f t="shared" si="5"/>
        <v>7667.6639999999989</v>
      </c>
      <c r="L28" s="63">
        <f t="shared" si="6"/>
        <v>1916.9159999999993</v>
      </c>
      <c r="M28" s="63">
        <f t="shared" si="7"/>
        <v>1241.4219999999973</v>
      </c>
      <c r="N28" s="63">
        <f t="shared" si="8"/>
        <v>4965.6879999999892</v>
      </c>
      <c r="O28" s="63">
        <f t="shared" si="13"/>
        <v>0</v>
      </c>
      <c r="P28" s="51"/>
      <c r="Q28" s="62">
        <f t="shared" si="14"/>
        <v>369287.65399999998</v>
      </c>
      <c r="R28" s="61">
        <f t="array" ref="R28">SUMPRODUCT(($A28=tblTheoretical_Value[Investor])*($C28=tblTheoretical_Value[Investor Type])*(R$1=tblTheoretical_Value[[#Headers],[Investor Commitments]:[Non-Portfolio P&amp;L Activity]])*tblTheoretical_Value[[Investor Commitments]:[Non-Portfolio P&amp;L Activity]])</f>
        <v>-276422.61</v>
      </c>
      <c r="S28" s="62">
        <f t="shared" si="9"/>
        <v>92865.043999999994</v>
      </c>
      <c r="T28" s="61">
        <f t="array" ref="T28">SUMPRODUCT(($A28=tblTheoretical_Value[Investor])*($C28=tblTheoretical_Value[Investor Type])*(T$1=tblTheoretical_Value[[#Headers],[Investor Commitments]:[Non-Portfolio P&amp;L Activity]])*tblTheoretical_Value[[Investor Commitments]:[Non-Portfolio P&amp;L Activity]])</f>
        <v>101774.13</v>
      </c>
      <c r="U28" s="63">
        <f t="shared" si="15"/>
        <v>-8909.0860000000102</v>
      </c>
      <c r="V28" s="51"/>
      <c r="W28" s="61">
        <f t="shared" si="16"/>
        <v>-8909.0859999999957</v>
      </c>
      <c r="X28" s="61">
        <f t="array" ref="X28">SUMPRODUCT(($A28=tblTheoretical_Value[Investor])*($C28=tblTheoretical_Value[Investor Type])*(X$1=tblTheoretical_Value[[#Headers],[Investor Commitments]:[Non-Portfolio P&amp;L Activity]])*tblTheoretical_Value[[Investor Commitments]:[Non-Portfolio P&amp;L Activity]])</f>
        <v>0</v>
      </c>
      <c r="Y28" s="63">
        <f t="shared" si="10"/>
        <v>-8909.0859999999957</v>
      </c>
      <c r="Z28" s="63">
        <f t="shared" si="17"/>
        <v>0</v>
      </c>
      <c r="AA28" s="51"/>
      <c r="AB28" s="60">
        <f t="shared" si="18"/>
        <v>0.19999999999999998</v>
      </c>
      <c r="AC28" s="60">
        <f t="shared" si="19"/>
        <v>0.8</v>
      </c>
      <c r="AD28" s="60">
        <f t="shared" si="20"/>
        <v>0.2</v>
      </c>
      <c r="AE28" s="60">
        <f t="shared" si="21"/>
        <v>0.8</v>
      </c>
      <c r="AF28" s="60">
        <f t="shared" si="22"/>
        <v>0.19999999999999993</v>
      </c>
    </row>
    <row r="29" spans="1:32" s="52" customFormat="1" ht="15" x14ac:dyDescent="0.25">
      <c r="A29" s="53" t="s">
        <v>89</v>
      </c>
      <c r="B29" s="54">
        <v>8363</v>
      </c>
      <c r="C29" s="55" t="s">
        <v>4</v>
      </c>
      <c r="D29" s="56"/>
      <c r="E29" s="61">
        <f t="array" ref="E29">SUMPRODUCT(($A29=tblTheoretical_Value[Investor])*($C29=tblTheoretical_Value[Investor Type])*(E$1=tblTheoretical_Value[[#Headers],[Investor Commitments]:[Non-Portfolio P&amp;L Activity]])*tblTheoretical_Value[[Investor Commitments]:[Non-Portfolio P&amp;L Activity]])</f>
        <v>277366.86</v>
      </c>
      <c r="F29" s="61">
        <f t="array" ref="F29">SUMPRODUCT(($A29=tblTheoretical_Value[Investor])*($C29=tblTheoretical_Value[Investor Type])*(F$1=tblTheoretical_Value[[#Headers],[Investor Commitments]:[Accumulated Earnings, gross of Carried Interest and net of Syndication Costs]])*tblTheoretical_Value[[Investor Commitments]:[Accumulated Earnings, gross of Carried Interest and net of Syndication Costs]])</f>
        <v>36167.279999999999</v>
      </c>
      <c r="G29" s="62">
        <f t="shared" si="11"/>
        <v>313534.14</v>
      </c>
      <c r="H29" s="51"/>
      <c r="I29" s="61">
        <f t="shared" si="12"/>
        <v>277366.86</v>
      </c>
      <c r="J29" s="63">
        <f>MIN(($G29-$I29),SUMPRODUCT(--($A29=tblPref[Investor])*tblPref[Preferred Return]))</f>
        <v>23305.300000000003</v>
      </c>
      <c r="K29" s="63">
        <f t="shared" si="5"/>
        <v>6214.7466666666678</v>
      </c>
      <c r="L29" s="63">
        <f t="shared" si="6"/>
        <v>1553.6866666666665</v>
      </c>
      <c r="M29" s="63">
        <f t="shared" si="7"/>
        <v>1018.7093333333498</v>
      </c>
      <c r="N29" s="63">
        <f t="shared" si="8"/>
        <v>4074.8373333333993</v>
      </c>
      <c r="O29" s="63">
        <f t="shared" si="13"/>
        <v>0</v>
      </c>
      <c r="P29" s="51"/>
      <c r="Q29" s="62">
        <f t="shared" si="14"/>
        <v>306300.68400000001</v>
      </c>
      <c r="R29" s="61">
        <f t="array" ref="R29">SUMPRODUCT(($A29=tblTheoretical_Value[Investor])*($C29=tblTheoretical_Value[Investor Type])*(R$1=tblTheoretical_Value[[#Headers],[Investor Commitments]:[Non-Portfolio P&amp;L Activity]])*tblTheoretical_Value[[Investor Commitments]:[Non-Portfolio P&amp;L Activity]])</f>
        <v>-216754.45</v>
      </c>
      <c r="S29" s="62">
        <f t="shared" si="9"/>
        <v>89546.233999999997</v>
      </c>
      <c r="T29" s="61">
        <f t="array" ref="T29">SUMPRODUCT(($A29=tblTheoretical_Value[Investor])*($C29=tblTheoretical_Value[Investor Type])*(T$1=tblTheoretical_Value[[#Headers],[Investor Commitments]:[Non-Portfolio P&amp;L Activity]])*tblTheoretical_Value[[Investor Commitments]:[Non-Portfolio P&amp;L Activity]])</f>
        <v>96779.69</v>
      </c>
      <c r="U29" s="63">
        <f t="shared" si="15"/>
        <v>-7233.4560000000056</v>
      </c>
      <c r="V29" s="51"/>
      <c r="W29" s="61">
        <f t="shared" si="16"/>
        <v>-7233.4560000000174</v>
      </c>
      <c r="X29" s="61">
        <f t="array" ref="X29">SUMPRODUCT(($A29=tblTheoretical_Value[Investor])*($C29=tblTheoretical_Value[Investor Type])*(X$1=tblTheoretical_Value[[#Headers],[Investor Commitments]:[Non-Portfolio P&amp;L Activity]])*tblTheoretical_Value[[Investor Commitments]:[Non-Portfolio P&amp;L Activity]])</f>
        <v>0</v>
      </c>
      <c r="Y29" s="63">
        <f t="shared" si="10"/>
        <v>-7233.4560000000174</v>
      </c>
      <c r="Z29" s="63">
        <f t="shared" si="17"/>
        <v>0</v>
      </c>
      <c r="AA29" s="51"/>
      <c r="AB29" s="60">
        <f t="shared" si="18"/>
        <v>0.2</v>
      </c>
      <c r="AC29" s="60">
        <f t="shared" si="19"/>
        <v>0.8</v>
      </c>
      <c r="AD29" s="60">
        <f t="shared" si="20"/>
        <v>0.2</v>
      </c>
      <c r="AE29" s="60">
        <f t="shared" si="21"/>
        <v>0.8</v>
      </c>
      <c r="AF29" s="60">
        <f t="shared" si="22"/>
        <v>0.20000000000000032</v>
      </c>
    </row>
    <row r="30" spans="1:32" s="52" customFormat="1" ht="15" x14ac:dyDescent="0.25">
      <c r="A30" s="53" t="s">
        <v>90</v>
      </c>
      <c r="B30" s="54">
        <v>8386</v>
      </c>
      <c r="C30" s="55" t="s">
        <v>4</v>
      </c>
      <c r="D30" s="56"/>
      <c r="E30" s="61">
        <f t="array" ref="E30">SUMPRODUCT(($A30=tblTheoretical_Value[Investor])*($C30=tblTheoretical_Value[Investor Type])*(E$1=tblTheoretical_Value[[#Headers],[Investor Commitments]:[Non-Portfolio P&amp;L Activity]])*tblTheoretical_Value[[Investor Commitments]:[Non-Portfolio P&amp;L Activity]])</f>
        <v>180877.18</v>
      </c>
      <c r="F30" s="61">
        <f t="array" ref="F30">SUMPRODUCT(($A30=tblTheoretical_Value[Investor])*($C30=tblTheoretical_Value[Investor Type])*(F$1=tblTheoretical_Value[[#Headers],[Investor Commitments]:[Accumulated Earnings, gross of Carried Interest and net of Syndication Costs]])*tblTheoretical_Value[[Investor Commitments]:[Accumulated Earnings, gross of Carried Interest and net of Syndication Costs]])</f>
        <v>26924.33</v>
      </c>
      <c r="G30" s="62">
        <f t="shared" si="11"/>
        <v>207801.51</v>
      </c>
      <c r="H30" s="51"/>
      <c r="I30" s="61">
        <f t="shared" si="12"/>
        <v>180877.18</v>
      </c>
      <c r="J30" s="63">
        <f>MIN(($G30-$I30),SUMPRODUCT(--($A30=tblPref[Investor])*tblPref[Preferred Return]))</f>
        <v>17509.259999999998</v>
      </c>
      <c r="K30" s="63">
        <f t="shared" si="5"/>
        <v>4669.1359999999986</v>
      </c>
      <c r="L30" s="63">
        <f t="shared" si="6"/>
        <v>1167.2839999999994</v>
      </c>
      <c r="M30" s="63">
        <f t="shared" si="7"/>
        <v>715.73000000000468</v>
      </c>
      <c r="N30" s="63">
        <f t="shared" si="8"/>
        <v>2862.9200000000187</v>
      </c>
      <c r="O30" s="63">
        <f t="shared" si="13"/>
        <v>0</v>
      </c>
      <c r="P30" s="51"/>
      <c r="Q30" s="62">
        <f t="shared" si="14"/>
        <v>202416.644</v>
      </c>
      <c r="R30" s="61">
        <f t="array" ref="R30">SUMPRODUCT(($A30=tblTheoretical_Value[Investor])*($C30=tblTheoretical_Value[Investor Type])*(R$1=tblTheoretical_Value[[#Headers],[Investor Commitments]:[Non-Portfolio P&amp;L Activity]])*tblTheoretical_Value[[Investor Commitments]:[Non-Portfolio P&amp;L Activity]])</f>
        <v>-191751.42</v>
      </c>
      <c r="S30" s="62">
        <f t="shared" si="9"/>
        <v>10665.223999999987</v>
      </c>
      <c r="T30" s="61">
        <f t="array" ref="T30">SUMPRODUCT(($A30=tblTheoretical_Value[Investor])*($C30=tblTheoretical_Value[Investor Type])*(T$1=tblTheoretical_Value[[#Headers],[Investor Commitments]:[Non-Portfolio P&amp;L Activity]])*tblTheoretical_Value[[Investor Commitments]:[Non-Portfolio P&amp;L Activity]])</f>
        <v>16050.09</v>
      </c>
      <c r="U30" s="63">
        <f t="shared" si="15"/>
        <v>-5384.8660000000127</v>
      </c>
      <c r="V30" s="51"/>
      <c r="W30" s="61">
        <f t="shared" si="16"/>
        <v>-5384.8660000000036</v>
      </c>
      <c r="X30" s="61">
        <f t="array" ref="X30">SUMPRODUCT(($A30=tblTheoretical_Value[Investor])*($C30=tblTheoretical_Value[Investor Type])*(X$1=tblTheoretical_Value[[#Headers],[Investor Commitments]:[Non-Portfolio P&amp;L Activity]])*tblTheoretical_Value[[Investor Commitments]:[Non-Portfolio P&amp;L Activity]])</f>
        <v>0</v>
      </c>
      <c r="Y30" s="63">
        <f t="shared" si="10"/>
        <v>-5384.8660000000036</v>
      </c>
      <c r="Z30" s="63">
        <f t="shared" si="17"/>
        <v>0</v>
      </c>
      <c r="AA30" s="51"/>
      <c r="AB30" s="60">
        <f t="shared" si="18"/>
        <v>0.19999999999999996</v>
      </c>
      <c r="AC30" s="60">
        <f t="shared" si="19"/>
        <v>0.8</v>
      </c>
      <c r="AD30" s="60">
        <f t="shared" si="20"/>
        <v>0.2</v>
      </c>
      <c r="AE30" s="60">
        <f t="shared" si="21"/>
        <v>0.8</v>
      </c>
      <c r="AF30" s="60">
        <f t="shared" si="22"/>
        <v>0.2</v>
      </c>
    </row>
    <row r="31" spans="1:32" s="52" customFormat="1" ht="15" x14ac:dyDescent="0.25">
      <c r="A31" s="53" t="s">
        <v>91</v>
      </c>
      <c r="B31" s="54">
        <v>8402</v>
      </c>
      <c r="C31" s="55" t="s">
        <v>4</v>
      </c>
      <c r="D31" s="56"/>
      <c r="E31" s="61">
        <f t="array" ref="E31">SUMPRODUCT(($A31=tblTheoretical_Value[Investor])*($C31=tblTheoretical_Value[Investor Type])*(E$1=tblTheoretical_Value[[#Headers],[Investor Commitments]:[Non-Portfolio P&amp;L Activity]])*tblTheoretical_Value[[Investor Commitments]:[Non-Portfolio P&amp;L Activity]])</f>
        <v>3153367.99</v>
      </c>
      <c r="F31" s="61">
        <f t="array" ref="F31">SUMPRODUCT(($A31=tblTheoretical_Value[Investor])*($C31=tblTheoretical_Value[Investor Type])*(F$1=tblTheoretical_Value[[#Headers],[Investor Commitments]:[Accumulated Earnings, gross of Carried Interest and net of Syndication Costs]])*tblTheoretical_Value[[Investor Commitments]:[Accumulated Earnings, gross of Carried Interest and net of Syndication Costs]])</f>
        <v>469393.51999999996</v>
      </c>
      <c r="G31" s="62">
        <f t="shared" si="11"/>
        <v>3622761.5100000002</v>
      </c>
      <c r="H31" s="51"/>
      <c r="I31" s="61">
        <f t="shared" si="12"/>
        <v>3153367.99</v>
      </c>
      <c r="J31" s="63">
        <f>MIN(($G31-$I31),SUMPRODUCT(--($A31=tblPref[Investor])*tblPref[Preferred Return]))</f>
        <v>305251.97000000003</v>
      </c>
      <c r="K31" s="63">
        <f t="shared" si="5"/>
        <v>81400.525333333353</v>
      </c>
      <c r="L31" s="63">
        <f t="shared" si="6"/>
        <v>20350.131333333331</v>
      </c>
      <c r="M31" s="63">
        <f t="shared" si="7"/>
        <v>12478.178666666616</v>
      </c>
      <c r="N31" s="63">
        <f t="shared" si="8"/>
        <v>49912.714666666463</v>
      </c>
      <c r="O31" s="63">
        <f t="shared" si="13"/>
        <v>0</v>
      </c>
      <c r="P31" s="51"/>
      <c r="Q31" s="62">
        <f t="shared" si="14"/>
        <v>3528882.8060000003</v>
      </c>
      <c r="R31" s="61">
        <f t="array" ref="R31">SUMPRODUCT(($A31=tblTheoretical_Value[Investor])*($C31=tblTheoretical_Value[Investor Type])*(R$1=tblTheoretical_Value[[#Headers],[Investor Commitments]:[Non-Portfolio P&amp;L Activity]])*tblTheoretical_Value[[Investor Commitments]:[Non-Portfolio P&amp;L Activity]])</f>
        <v>-3342946.35</v>
      </c>
      <c r="S31" s="62">
        <f t="shared" si="9"/>
        <v>185936.45600000024</v>
      </c>
      <c r="T31" s="61">
        <f t="array" ref="T31">SUMPRODUCT(($A31=tblTheoretical_Value[Investor])*($C31=tblTheoretical_Value[Investor Type])*(T$1=tblTheoretical_Value[[#Headers],[Investor Commitments]:[Non-Portfolio P&amp;L Activity]])*tblTheoretical_Value[[Investor Commitments]:[Non-Portfolio P&amp;L Activity]])</f>
        <v>279815.15999999997</v>
      </c>
      <c r="U31" s="63">
        <f t="shared" si="15"/>
        <v>-93878.703999999736</v>
      </c>
      <c r="V31" s="51"/>
      <c r="W31" s="61">
        <f t="shared" si="16"/>
        <v>-93878.703999999969</v>
      </c>
      <c r="X31" s="61">
        <f t="array" ref="X31">SUMPRODUCT(($A31=tblTheoretical_Value[Investor])*($C31=tblTheoretical_Value[Investor Type])*(X$1=tblTheoretical_Value[[#Headers],[Investor Commitments]:[Non-Portfolio P&amp;L Activity]])*tblTheoretical_Value[[Investor Commitments]:[Non-Portfolio P&amp;L Activity]])</f>
        <v>0</v>
      </c>
      <c r="Y31" s="63">
        <f t="shared" si="10"/>
        <v>-93878.703999999969</v>
      </c>
      <c r="Z31" s="63">
        <f t="shared" si="17"/>
        <v>0</v>
      </c>
      <c r="AA31" s="51"/>
      <c r="AB31" s="60">
        <f t="shared" si="18"/>
        <v>0.20000000000000004</v>
      </c>
      <c r="AC31" s="60">
        <f t="shared" si="19"/>
        <v>0.79999999999999993</v>
      </c>
      <c r="AD31" s="60">
        <f t="shared" si="20"/>
        <v>0.2</v>
      </c>
      <c r="AE31" s="60">
        <f t="shared" si="21"/>
        <v>0.8</v>
      </c>
      <c r="AF31" s="60">
        <f t="shared" si="22"/>
        <v>0.19999999999999993</v>
      </c>
    </row>
    <row r="32" spans="1:32" s="52" customFormat="1" ht="15" x14ac:dyDescent="0.25">
      <c r="A32" s="53" t="s">
        <v>92</v>
      </c>
      <c r="B32" s="54">
        <v>8395</v>
      </c>
      <c r="C32" s="55" t="s">
        <v>4</v>
      </c>
      <c r="D32" s="56"/>
      <c r="E32" s="61">
        <f t="array" ref="E32">SUMPRODUCT(($A32=tblTheoretical_Value[Investor])*($C32=tblTheoretical_Value[Investor Type])*(E$1=tblTheoretical_Value[[#Headers],[Investor Commitments]:[Non-Portfolio P&amp;L Activity]])*tblTheoretical_Value[[Investor Commitments]:[Non-Portfolio P&amp;L Activity]])</f>
        <v>63067.360000000001</v>
      </c>
      <c r="F32" s="61">
        <f t="array" ref="F32">SUMPRODUCT(($A32=tblTheoretical_Value[Investor])*($C32=tblTheoretical_Value[Investor Type])*(F$1=tblTheoretical_Value[[#Headers],[Investor Commitments]:[Accumulated Earnings, gross of Carried Interest and net of Syndication Costs]])*tblTheoretical_Value[[Investor Commitments]:[Accumulated Earnings, gross of Carried Interest and net of Syndication Costs]])</f>
        <v>9388.01</v>
      </c>
      <c r="G32" s="62">
        <f t="shared" si="11"/>
        <v>72455.37</v>
      </c>
      <c r="H32" s="51"/>
      <c r="I32" s="61">
        <f t="shared" si="12"/>
        <v>63067.360000000001</v>
      </c>
      <c r="J32" s="63">
        <f>MIN(($G32-$I32),SUMPRODUCT(--($A32=tblPref[Investor])*tblPref[Preferred Return]))</f>
        <v>6105.05</v>
      </c>
      <c r="K32" s="63">
        <f t="shared" si="5"/>
        <v>1628.0133333333333</v>
      </c>
      <c r="L32" s="63">
        <f t="shared" si="6"/>
        <v>407.00333333333322</v>
      </c>
      <c r="M32" s="63">
        <f t="shared" si="7"/>
        <v>249.58866666666583</v>
      </c>
      <c r="N32" s="63">
        <f t="shared" si="8"/>
        <v>998.35466666666332</v>
      </c>
      <c r="O32" s="63">
        <f t="shared" si="13"/>
        <v>0</v>
      </c>
      <c r="P32" s="51"/>
      <c r="Q32" s="62">
        <f t="shared" si="14"/>
        <v>70577.767999999996</v>
      </c>
      <c r="R32" s="61">
        <f t="array" ref="R32">SUMPRODUCT(($A32=tblTheoretical_Value[Investor])*($C32=tblTheoretical_Value[Investor Type])*(R$1=tblTheoretical_Value[[#Headers],[Investor Commitments]:[Non-Portfolio P&amp;L Activity]])*tblTheoretical_Value[[Investor Commitments]:[Non-Portfolio P&amp;L Activity]])</f>
        <v>-66859</v>
      </c>
      <c r="S32" s="62">
        <f t="shared" si="9"/>
        <v>3718.7679999999964</v>
      </c>
      <c r="T32" s="61">
        <f t="array" ref="T32">SUMPRODUCT(($A32=tblTheoretical_Value[Investor])*($C32=tblTheoretical_Value[Investor Type])*(T$1=tblTheoretical_Value[[#Headers],[Investor Commitments]:[Non-Portfolio P&amp;L Activity]])*tblTheoretical_Value[[Investor Commitments]:[Non-Portfolio P&amp;L Activity]])</f>
        <v>5596.37</v>
      </c>
      <c r="U32" s="63">
        <f t="shared" si="15"/>
        <v>-1877.6020000000035</v>
      </c>
      <c r="V32" s="51"/>
      <c r="W32" s="61">
        <f t="shared" si="16"/>
        <v>-1877.6019999999992</v>
      </c>
      <c r="X32" s="61">
        <f t="array" ref="X32">SUMPRODUCT(($A32=tblTheoretical_Value[Investor])*($C32=tblTheoretical_Value[Investor Type])*(X$1=tblTheoretical_Value[[#Headers],[Investor Commitments]:[Non-Portfolio P&amp;L Activity]])*tblTheoretical_Value[[Investor Commitments]:[Non-Portfolio P&amp;L Activity]])</f>
        <v>0</v>
      </c>
      <c r="Y32" s="63">
        <f t="shared" si="10"/>
        <v>-1877.6019999999992</v>
      </c>
      <c r="Z32" s="63">
        <f t="shared" si="17"/>
        <v>0</v>
      </c>
      <c r="AA32" s="51"/>
      <c r="AB32" s="60">
        <f t="shared" si="18"/>
        <v>0.2</v>
      </c>
      <c r="AC32" s="60">
        <f t="shared" si="19"/>
        <v>0.8</v>
      </c>
      <c r="AD32" s="60">
        <f t="shared" si="20"/>
        <v>0.2</v>
      </c>
      <c r="AE32" s="60">
        <f t="shared" si="21"/>
        <v>0.8</v>
      </c>
      <c r="AF32" s="60">
        <f t="shared" si="22"/>
        <v>0.2</v>
      </c>
    </row>
    <row r="33" spans="1:32" s="52" customFormat="1" ht="15" x14ac:dyDescent="0.25">
      <c r="A33" s="53" t="s">
        <v>93</v>
      </c>
      <c r="B33" s="54">
        <v>8383</v>
      </c>
      <c r="C33" s="55" t="s">
        <v>4</v>
      </c>
      <c r="D33" s="56"/>
      <c r="E33" s="61">
        <f t="array" ref="E33">SUMPRODUCT(($A33=tblTheoretical_Value[Investor])*($C33=tblTheoretical_Value[Investor Type])*(E$1=tblTheoretical_Value[[#Headers],[Investor Commitments]:[Non-Portfolio P&amp;L Activity]])*tblTheoretical_Value[[Investor Commitments]:[Non-Portfolio P&amp;L Activity]])</f>
        <v>315336.8</v>
      </c>
      <c r="F33" s="61">
        <f t="array" ref="F33">SUMPRODUCT(($A33=tblTheoretical_Value[Investor])*($C33=tblTheoretical_Value[Investor Type])*(F$1=tblTheoretical_Value[[#Headers],[Investor Commitments]:[Accumulated Earnings, gross of Carried Interest and net of Syndication Costs]])*tblTheoretical_Value[[Investor Commitments]:[Accumulated Earnings, gross of Carried Interest and net of Syndication Costs]])</f>
        <v>46939.56</v>
      </c>
      <c r="G33" s="62">
        <f t="shared" si="11"/>
        <v>362276.36</v>
      </c>
      <c r="H33" s="51"/>
      <c r="I33" s="61">
        <f t="shared" si="12"/>
        <v>315336.8</v>
      </c>
      <c r="J33" s="63">
        <f>MIN(($G33-$I33),SUMPRODUCT(--($A33=tblPref[Investor])*tblPref[Preferred Return]))</f>
        <v>30525.21</v>
      </c>
      <c r="K33" s="63">
        <f t="shared" si="5"/>
        <v>8140.0560000000005</v>
      </c>
      <c r="L33" s="63">
        <f t="shared" si="6"/>
        <v>2035.0139999999994</v>
      </c>
      <c r="M33" s="63">
        <f t="shared" si="7"/>
        <v>1247.8559999999941</v>
      </c>
      <c r="N33" s="63">
        <f t="shared" si="8"/>
        <v>4991.4239999999763</v>
      </c>
      <c r="O33" s="63">
        <f t="shared" si="13"/>
        <v>0</v>
      </c>
      <c r="P33" s="51"/>
      <c r="Q33" s="62">
        <f t="shared" si="14"/>
        <v>352888.44800000003</v>
      </c>
      <c r="R33" s="61">
        <f t="array" ref="R33">SUMPRODUCT(($A33=tblTheoretical_Value[Investor])*($C33=tblTheoretical_Value[Investor Type])*(R$1=tblTheoretical_Value[[#Headers],[Investor Commitments]:[Non-Portfolio P&amp;L Activity]])*tblTheoretical_Value[[Investor Commitments]:[Non-Portfolio P&amp;L Activity]])</f>
        <v>-334294.71000000002</v>
      </c>
      <c r="S33" s="62">
        <f t="shared" si="9"/>
        <v>18593.738000000012</v>
      </c>
      <c r="T33" s="61">
        <f t="array" ref="T33">SUMPRODUCT(($A33=tblTheoretical_Value[Investor])*($C33=tblTheoretical_Value[Investor Type])*(T$1=tblTheoretical_Value[[#Headers],[Investor Commitments]:[Non-Portfolio P&amp;L Activity]])*tblTheoretical_Value[[Investor Commitments]:[Non-Portfolio P&amp;L Activity]])</f>
        <v>27981.65</v>
      </c>
      <c r="U33" s="63">
        <f t="shared" si="15"/>
        <v>-9387.9119999999893</v>
      </c>
      <c r="V33" s="51"/>
      <c r="W33" s="61">
        <f t="shared" si="16"/>
        <v>-9387.9119999999948</v>
      </c>
      <c r="X33" s="61">
        <f t="array" ref="X33">SUMPRODUCT(($A33=tblTheoretical_Value[Investor])*($C33=tblTheoretical_Value[Investor Type])*(X$1=tblTheoretical_Value[[#Headers],[Investor Commitments]:[Non-Portfolio P&amp;L Activity]])*tblTheoretical_Value[[Investor Commitments]:[Non-Portfolio P&amp;L Activity]])</f>
        <v>0</v>
      </c>
      <c r="Y33" s="63">
        <f t="shared" si="10"/>
        <v>-9387.9119999999948</v>
      </c>
      <c r="Z33" s="63">
        <f t="shared" si="17"/>
        <v>0</v>
      </c>
      <c r="AA33" s="51"/>
      <c r="AB33" s="60">
        <f t="shared" si="18"/>
        <v>0.19999999999999998</v>
      </c>
      <c r="AC33" s="60">
        <f t="shared" si="19"/>
        <v>0.79999999999999982</v>
      </c>
      <c r="AD33" s="60">
        <f t="shared" si="20"/>
        <v>0.19999999999999998</v>
      </c>
      <c r="AE33" s="60">
        <f t="shared" si="21"/>
        <v>0.79999999999999993</v>
      </c>
      <c r="AF33" s="60">
        <f t="shared" si="22"/>
        <v>0.1999999999999999</v>
      </c>
    </row>
    <row r="34" spans="1:32" s="52" customFormat="1" ht="15" x14ac:dyDescent="0.25">
      <c r="A34" s="53" t="s">
        <v>94</v>
      </c>
      <c r="B34" s="54">
        <v>8392</v>
      </c>
      <c r="C34" s="55" t="s">
        <v>4</v>
      </c>
      <c r="D34" s="56"/>
      <c r="E34" s="61">
        <f t="array" ref="E34">SUMPRODUCT(($A34=tblTheoretical_Value[Investor])*($C34=tblTheoretical_Value[Investor Type])*(E$1=tblTheoretical_Value[[#Headers],[Investor Commitments]:[Non-Portfolio P&amp;L Activity]])*tblTheoretical_Value[[Investor Commitments]:[Non-Portfolio P&amp;L Activity]])</f>
        <v>52402.7</v>
      </c>
      <c r="F34" s="61">
        <f t="array" ref="F34">SUMPRODUCT(($A34=tblTheoretical_Value[Investor])*($C34=tblTheoretical_Value[Investor Type])*(F$1=tblTheoretical_Value[[#Headers],[Investor Commitments]:[Accumulated Earnings, gross of Carried Interest and net of Syndication Costs]])*tblTheoretical_Value[[Investor Commitments]:[Accumulated Earnings, gross of Carried Interest and net of Syndication Costs]])</f>
        <v>7800.34</v>
      </c>
      <c r="G34" s="62">
        <f t="shared" si="11"/>
        <v>60203.039999999994</v>
      </c>
      <c r="H34" s="51"/>
      <c r="I34" s="61">
        <f t="shared" si="12"/>
        <v>52402.7</v>
      </c>
      <c r="J34" s="63">
        <f>MIN(($G34-$I34),SUMPRODUCT(--($A34=tblPref[Investor])*tblPref[Preferred Return]))</f>
        <v>5072.66</v>
      </c>
      <c r="K34" s="63">
        <f t="shared" si="5"/>
        <v>1352.7093333333332</v>
      </c>
      <c r="L34" s="63">
        <f t="shared" si="6"/>
        <v>338.17733333333319</v>
      </c>
      <c r="M34" s="63">
        <f t="shared" si="7"/>
        <v>207.35866666666553</v>
      </c>
      <c r="N34" s="63">
        <f t="shared" si="8"/>
        <v>829.43466666666211</v>
      </c>
      <c r="O34" s="63">
        <f t="shared" si="13"/>
        <v>0</v>
      </c>
      <c r="P34" s="51"/>
      <c r="Q34" s="62">
        <f t="shared" si="14"/>
        <v>58642.971999999994</v>
      </c>
      <c r="R34" s="61">
        <f t="array" ref="R34">SUMPRODUCT(($A34=tblTheoretical_Value[Investor])*($C34=tblTheoretical_Value[Investor Type])*(R$1=tblTheoretical_Value[[#Headers],[Investor Commitments]:[Non-Portfolio P&amp;L Activity]])*tblTheoretical_Value[[Investor Commitments]:[Non-Portfolio P&amp;L Activity]])</f>
        <v>-55553.120000000003</v>
      </c>
      <c r="S34" s="62">
        <f t="shared" si="9"/>
        <v>3089.8519999999917</v>
      </c>
      <c r="T34" s="61">
        <f t="array" ref="T34">SUMPRODUCT(($A34=tblTheoretical_Value[Investor])*($C34=tblTheoretical_Value[Investor Type])*(T$1=tblTheoretical_Value[[#Headers],[Investor Commitments]:[Non-Portfolio P&amp;L Activity]])*tblTheoretical_Value[[Investor Commitments]:[Non-Portfolio P&amp;L Activity]])</f>
        <v>4649.92</v>
      </c>
      <c r="U34" s="63">
        <f t="shared" si="15"/>
        <v>-1560.0680000000084</v>
      </c>
      <c r="V34" s="51"/>
      <c r="W34" s="61">
        <f t="shared" si="16"/>
        <v>-1560.0679999999988</v>
      </c>
      <c r="X34" s="61">
        <f t="array" ref="X34">SUMPRODUCT(($A34=tblTheoretical_Value[Investor])*($C34=tblTheoretical_Value[Investor Type])*(X$1=tblTheoretical_Value[[#Headers],[Investor Commitments]:[Non-Portfolio P&amp;L Activity]])*tblTheoretical_Value[[Investor Commitments]:[Non-Portfolio P&amp;L Activity]])</f>
        <v>0</v>
      </c>
      <c r="Y34" s="63">
        <f t="shared" si="10"/>
        <v>-1560.0679999999988</v>
      </c>
      <c r="Z34" s="63">
        <f t="shared" si="17"/>
        <v>0</v>
      </c>
      <c r="AA34" s="51"/>
      <c r="AB34" s="60">
        <f t="shared" si="18"/>
        <v>0.2</v>
      </c>
      <c r="AC34" s="60">
        <f t="shared" si="19"/>
        <v>0.8</v>
      </c>
      <c r="AD34" s="60">
        <f t="shared" si="20"/>
        <v>0.2</v>
      </c>
      <c r="AE34" s="60">
        <f t="shared" si="21"/>
        <v>0.8</v>
      </c>
      <c r="AF34" s="60">
        <f t="shared" si="22"/>
        <v>0.19999999999999993</v>
      </c>
    </row>
    <row r="35" spans="1:32" s="52" customFormat="1" ht="15" x14ac:dyDescent="0.25">
      <c r="A35" s="53" t="s">
        <v>95</v>
      </c>
      <c r="B35" s="54">
        <v>8378</v>
      </c>
      <c r="C35" s="55" t="s">
        <v>4</v>
      </c>
      <c r="D35" s="56"/>
      <c r="E35" s="61">
        <f t="array" ref="E35">SUMPRODUCT(($A35=tblTheoretical_Value[Investor])*($C35=tblTheoretical_Value[Investor Type])*(E$1=tblTheoretical_Value[[#Headers],[Investor Commitments]:[Non-Portfolio P&amp;L Activity]])*tblTheoretical_Value[[Investor Commitments]:[Non-Portfolio P&amp;L Activity]])</f>
        <v>499260.37</v>
      </c>
      <c r="F35" s="61">
        <f t="array" ref="F35">SUMPRODUCT(($A35=tblTheoretical_Value[Investor])*($C35=tblTheoretical_Value[Investor Type])*(F$1=tblTheoretical_Value[[#Headers],[Investor Commitments]:[Accumulated Earnings, gross of Carried Interest and net of Syndication Costs]])*tblTheoretical_Value[[Investor Commitments]:[Accumulated Earnings, gross of Carried Interest and net of Syndication Costs]])</f>
        <v>65101.34</v>
      </c>
      <c r="G35" s="62">
        <f t="shared" si="11"/>
        <v>564361.71</v>
      </c>
      <c r="H35" s="51"/>
      <c r="I35" s="61">
        <f t="shared" si="12"/>
        <v>499260.37</v>
      </c>
      <c r="J35" s="63">
        <f>MIN(($G35-$I35),SUMPRODUCT(--($A35=tblPref[Investor])*tblPref[Preferred Return]))</f>
        <v>41949.54</v>
      </c>
      <c r="K35" s="63">
        <f t="shared" si="5"/>
        <v>11186.544000000002</v>
      </c>
      <c r="L35" s="63">
        <f t="shared" si="6"/>
        <v>2796.6359999999995</v>
      </c>
      <c r="M35" s="63">
        <f t="shared" si="7"/>
        <v>1833.7239999999758</v>
      </c>
      <c r="N35" s="63">
        <f t="shared" si="8"/>
        <v>7334.8959999999033</v>
      </c>
      <c r="O35" s="63">
        <f t="shared" si="13"/>
        <v>0</v>
      </c>
      <c r="P35" s="51"/>
      <c r="Q35" s="62">
        <f t="shared" si="14"/>
        <v>551341.44200000004</v>
      </c>
      <c r="R35" s="61">
        <f t="array" ref="R35">SUMPRODUCT(($A35=tblTheoretical_Value[Investor])*($C35=tblTheoretical_Value[Investor Type])*(R$1=tblTheoretical_Value[[#Headers],[Investor Commitments]:[Non-Portfolio P&amp;L Activity]])*tblTheoretical_Value[[Investor Commitments]:[Non-Portfolio P&amp;L Activity]])</f>
        <v>-390158.09</v>
      </c>
      <c r="S35" s="62">
        <f t="shared" si="9"/>
        <v>161183.35200000001</v>
      </c>
      <c r="T35" s="61">
        <f t="array" ref="T35">SUMPRODUCT(($A35=tblTheoretical_Value[Investor])*($C35=tblTheoretical_Value[Investor Type])*(T$1=tblTheoretical_Value[[#Headers],[Investor Commitments]:[Non-Portfolio P&amp;L Activity]])*tblTheoretical_Value[[Investor Commitments]:[Non-Portfolio P&amp;L Activity]])</f>
        <v>174203.62</v>
      </c>
      <c r="U35" s="63">
        <f t="shared" si="15"/>
        <v>-13020.267999999982</v>
      </c>
      <c r="V35" s="51"/>
      <c r="W35" s="61">
        <f t="shared" si="16"/>
        <v>-13020.267999999978</v>
      </c>
      <c r="X35" s="61">
        <f t="array" ref="X35">SUMPRODUCT(($A35=tblTheoretical_Value[Investor])*($C35=tblTheoretical_Value[Investor Type])*(X$1=tblTheoretical_Value[[#Headers],[Investor Commitments]:[Non-Portfolio P&amp;L Activity]])*tblTheoretical_Value[[Investor Commitments]:[Non-Portfolio P&amp;L Activity]])</f>
        <v>0</v>
      </c>
      <c r="Y35" s="63">
        <f t="shared" si="10"/>
        <v>-13020.267999999978</v>
      </c>
      <c r="Z35" s="63">
        <f t="shared" si="17"/>
        <v>0</v>
      </c>
      <c r="AA35" s="51"/>
      <c r="AB35" s="60">
        <f t="shared" si="18"/>
        <v>0.20000000000000004</v>
      </c>
      <c r="AC35" s="60">
        <f t="shared" si="19"/>
        <v>0.79999999999999993</v>
      </c>
      <c r="AD35" s="60">
        <f t="shared" si="20"/>
        <v>0.2</v>
      </c>
      <c r="AE35" s="60">
        <f t="shared" si="21"/>
        <v>0.8</v>
      </c>
      <c r="AF35" s="60">
        <f t="shared" si="22"/>
        <v>0.19999999999999976</v>
      </c>
    </row>
    <row r="36" spans="1:32" s="52" customFormat="1" ht="15" x14ac:dyDescent="0.25">
      <c r="A36" s="53" t="s">
        <v>96</v>
      </c>
      <c r="B36" s="54">
        <v>8400</v>
      </c>
      <c r="C36" s="55" t="s">
        <v>4</v>
      </c>
      <c r="D36" s="56"/>
      <c r="E36" s="61">
        <f t="array" ref="E36">SUMPRODUCT(($A36=tblTheoretical_Value[Investor])*($C36=tblTheoretical_Value[Investor Type])*(E$1=tblTheoretical_Value[[#Headers],[Investor Commitments]:[Non-Portfolio P&amp;L Activity]])*tblTheoretical_Value[[Investor Commitments]:[Non-Portfolio P&amp;L Activity]])</f>
        <v>27736687.5</v>
      </c>
      <c r="F36" s="61">
        <f t="array" ref="F36">SUMPRODUCT(($A36=tblTheoretical_Value[Investor])*($C36=tblTheoretical_Value[Investor Type])*(F$1=tblTheoretical_Value[[#Headers],[Investor Commitments]:[Accumulated Earnings, gross of Carried Interest and net of Syndication Costs]])*tblTheoretical_Value[[Investor Commitments]:[Accumulated Earnings, gross of Carried Interest and net of Syndication Costs]])</f>
        <v>4106332.4099999997</v>
      </c>
      <c r="G36" s="62">
        <f t="shared" si="11"/>
        <v>31843019.91</v>
      </c>
      <c r="H36" s="51"/>
      <c r="I36" s="61">
        <f t="shared" si="12"/>
        <v>27736687.5</v>
      </c>
      <c r="J36" s="63">
        <f>MIN(($G36-$I36),SUMPRODUCT(--($A36=tblPref[Investor])*tblPref[Preferred Return]))</f>
        <v>2330530.29</v>
      </c>
      <c r="K36" s="63">
        <f t="shared" si="5"/>
        <v>621474.74400000018</v>
      </c>
      <c r="L36" s="63">
        <f t="shared" si="6"/>
        <v>155368.68599999999</v>
      </c>
      <c r="M36" s="63">
        <f t="shared" si="7"/>
        <v>199791.73800000027</v>
      </c>
      <c r="N36" s="63">
        <f t="shared" si="8"/>
        <v>799166.9520000011</v>
      </c>
      <c r="O36" s="63">
        <f t="shared" si="13"/>
        <v>0</v>
      </c>
      <c r="P36" s="51"/>
      <c r="Q36" s="62">
        <f t="shared" si="14"/>
        <v>31021753.427999999</v>
      </c>
      <c r="R36" s="61">
        <f t="array" ref="R36">SUMPRODUCT(($A36=tblTheoretical_Value[Investor])*($C36=tblTheoretical_Value[Investor Type])*(R$1=tblTheoretical_Value[[#Headers],[Investor Commitments]:[Non-Portfolio P&amp;L Activity]])*tblTheoretical_Value[[Investor Commitments]:[Non-Portfolio P&amp;L Activity]])</f>
        <v>-27972132.57</v>
      </c>
      <c r="S36" s="62">
        <f t="shared" si="9"/>
        <v>3049620.8579999991</v>
      </c>
      <c r="T36" s="61">
        <f t="array" ref="T36">SUMPRODUCT(($A36=tblTheoretical_Value[Investor])*($C36=tblTheoretical_Value[Investor Type])*(T$1=tblTheoretical_Value[[#Headers],[Investor Commitments]:[Non-Portfolio P&amp;L Activity]])*tblTheoretical_Value[[Investor Commitments]:[Non-Portfolio P&amp;L Activity]])</f>
        <v>3870887.34</v>
      </c>
      <c r="U36" s="63">
        <f t="shared" si="15"/>
        <v>-821266.48200000077</v>
      </c>
      <c r="V36" s="51"/>
      <c r="W36" s="61">
        <f t="shared" si="16"/>
        <v>-821266.48200000043</v>
      </c>
      <c r="X36" s="61">
        <f t="array" ref="X36">SUMPRODUCT(($A36=tblTheoretical_Value[Investor])*($C36=tblTheoretical_Value[Investor Type])*(X$1=tblTheoretical_Value[[#Headers],[Investor Commitments]:[Non-Portfolio P&amp;L Activity]])*tblTheoretical_Value[[Investor Commitments]:[Non-Portfolio P&amp;L Activity]])</f>
        <v>0</v>
      </c>
      <c r="Y36" s="63">
        <f t="shared" si="10"/>
        <v>-821266.48200000043</v>
      </c>
      <c r="Z36" s="63">
        <f t="shared" si="17"/>
        <v>0</v>
      </c>
      <c r="AA36" s="51"/>
      <c r="AB36" s="60">
        <f t="shared" si="18"/>
        <v>0.20000000000000007</v>
      </c>
      <c r="AC36" s="60">
        <f t="shared" si="19"/>
        <v>0.8</v>
      </c>
      <c r="AD36" s="60">
        <f t="shared" si="20"/>
        <v>0.2</v>
      </c>
      <c r="AE36" s="60">
        <f t="shared" si="21"/>
        <v>0.8</v>
      </c>
      <c r="AF36" s="60">
        <f t="shared" si="22"/>
        <v>0.20000000000000009</v>
      </c>
    </row>
    <row r="37" spans="1:32" s="52" customFormat="1" ht="15" x14ac:dyDescent="0.25">
      <c r="A37" s="53"/>
      <c r="B37" s="54"/>
      <c r="C37" s="55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</row>
  </sheetData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31"/>
  <sheetViews>
    <sheetView showGridLines="0" zoomScale="85" zoomScaleNormal="85" workbookViewId="0">
      <selection activeCell="C18" sqref="C18"/>
    </sheetView>
  </sheetViews>
  <sheetFormatPr defaultRowHeight="15" x14ac:dyDescent="0.25"/>
  <cols>
    <col min="1" max="1" width="26.5703125" style="88" bestFit="1" customWidth="1"/>
    <col min="2" max="2" width="18" style="88" bestFit="1" customWidth="1"/>
    <col min="3" max="3" width="20.42578125" style="88" bestFit="1" customWidth="1"/>
    <col min="4" max="4" width="8.42578125" style="90" customWidth="1"/>
    <col min="5" max="5" width="20.42578125" style="100" bestFit="1" customWidth="1"/>
    <col min="6" max="6" width="8.5703125" style="88" bestFit="1" customWidth="1"/>
    <col min="7" max="7" width="9.28515625" style="90" customWidth="1"/>
    <col min="8" max="8" width="15.5703125" style="88" customWidth="1"/>
    <col min="9" max="10" width="16.42578125" style="88" bestFit="1" customWidth="1"/>
    <col min="11" max="12" width="15.7109375" style="88" bestFit="1" customWidth="1"/>
    <col min="13" max="13" width="19" style="88" bestFit="1" customWidth="1"/>
    <col min="14" max="14" width="16.42578125" style="88" bestFit="1" customWidth="1"/>
    <col min="15" max="15" width="15" style="88" bestFit="1" customWidth="1"/>
    <col min="16" max="18" width="15" style="88" customWidth="1"/>
    <col min="19" max="19" width="21" bestFit="1" customWidth="1"/>
    <col min="20" max="20" width="15" style="88" customWidth="1"/>
    <col min="21" max="21" width="13.7109375" style="88" customWidth="1"/>
    <col min="22" max="16384" width="9.140625" style="88"/>
  </cols>
  <sheetData>
    <row r="1" spans="1:20" s="85" customFormat="1" ht="37.5" customHeight="1" x14ac:dyDescent="0.2">
      <c r="A1" s="85" t="s">
        <v>32</v>
      </c>
      <c r="B1" s="85" t="s">
        <v>10</v>
      </c>
      <c r="C1" s="85" t="s">
        <v>0</v>
      </c>
      <c r="D1" s="86" t="s">
        <v>2</v>
      </c>
      <c r="E1" s="99" t="s">
        <v>33</v>
      </c>
      <c r="F1" s="85" t="s">
        <v>34</v>
      </c>
      <c r="G1" s="86" t="s">
        <v>1</v>
      </c>
      <c r="H1" s="86" t="s">
        <v>35</v>
      </c>
      <c r="I1" s="86" t="s">
        <v>36</v>
      </c>
      <c r="J1" s="86" t="s">
        <v>37</v>
      </c>
      <c r="K1" s="86" t="s">
        <v>38</v>
      </c>
      <c r="L1" s="86" t="s">
        <v>39</v>
      </c>
      <c r="M1" s="86" t="s">
        <v>40</v>
      </c>
      <c r="N1" s="86" t="s">
        <v>41</v>
      </c>
      <c r="O1" s="86" t="s">
        <v>42</v>
      </c>
      <c r="P1" s="86" t="s">
        <v>43</v>
      </c>
      <c r="Q1" s="86" t="s">
        <v>63</v>
      </c>
      <c r="R1" s="87" t="s">
        <v>97</v>
      </c>
      <c r="S1" s="86" t="s">
        <v>64</v>
      </c>
      <c r="T1" s="87" t="s">
        <v>98</v>
      </c>
    </row>
    <row r="2" spans="1:20" x14ac:dyDescent="0.25">
      <c r="A2" s="88" t="s">
        <v>99</v>
      </c>
      <c r="B2" s="89"/>
      <c r="C2" s="88" t="s">
        <v>68</v>
      </c>
      <c r="D2" s="90" t="s">
        <v>3</v>
      </c>
      <c r="E2" s="100" t="s">
        <v>68</v>
      </c>
      <c r="G2" s="90">
        <v>8406</v>
      </c>
      <c r="H2" s="89">
        <v>1639220</v>
      </c>
      <c r="I2" s="89">
        <v>1494705.45</v>
      </c>
      <c r="J2" s="89">
        <v>-3544393.57</v>
      </c>
      <c r="K2" s="89">
        <v>-1845009.52</v>
      </c>
      <c r="L2" s="89">
        <v>-1845009.52</v>
      </c>
      <c r="M2" s="89">
        <v>61572.22</v>
      </c>
      <c r="N2" s="89">
        <v>125855.99</v>
      </c>
      <c r="O2" s="89">
        <v>17250.39</v>
      </c>
      <c r="P2" s="89">
        <v>204678.6</v>
      </c>
      <c r="Q2" s="89">
        <v>0</v>
      </c>
      <c r="R2" s="89">
        <f>SUM(tblTheoretical_Value[[#This Row],[Investment Other Inc/(Exp)]],tblTheoretical_Value[[#This Row],[Gains/(Losses)]],tblTheoretical_Value[[#This Row],[Non-Portfolio P&amp;L Activity]])-tblTheoretical_Value[[#This Row],[Carried Interest Allocation]]</f>
        <v>204678.60000000003</v>
      </c>
      <c r="S2" s="89">
        <v>0</v>
      </c>
      <c r="T2" s="89">
        <f>SUM(tblTheoretical_Value[[#This Row],[Investment Other Inc/(Exp)]],tblTheoretical_Value[[#This Row],[Gains/(Losses)]],tblTheoretical_Value[[#This Row],[Non-Portfolio P&amp;L Activity]])-tblTheoretical_Value[[#This Row],[Carried Interest Allocation]]+tblTheoretical_Value[[#This Row],[Syndication Costs]]</f>
        <v>204678.60000000003</v>
      </c>
    </row>
    <row r="3" spans="1:20" x14ac:dyDescent="0.25">
      <c r="A3" s="88" t="s">
        <v>99</v>
      </c>
      <c r="B3" s="89"/>
      <c r="C3" s="88" t="s">
        <v>69</v>
      </c>
      <c r="D3" s="90" t="s">
        <v>4</v>
      </c>
      <c r="E3" s="101" t="s">
        <v>69</v>
      </c>
      <c r="G3" s="90">
        <v>8371</v>
      </c>
      <c r="H3" s="89">
        <v>250000</v>
      </c>
      <c r="I3" s="89">
        <v>277366.86</v>
      </c>
      <c r="J3" s="89">
        <v>-216754.45</v>
      </c>
      <c r="K3" s="89">
        <v>96779.69</v>
      </c>
      <c r="L3" s="89">
        <v>96779.69</v>
      </c>
      <c r="M3" s="89">
        <v>10622.6</v>
      </c>
      <c r="N3" s="89">
        <v>22546.69</v>
      </c>
      <c r="O3" s="89">
        <v>2997.99</v>
      </c>
      <c r="P3" s="89">
        <v>36167.279999999999</v>
      </c>
      <c r="Q3" s="89">
        <v>0</v>
      </c>
      <c r="R3" s="89">
        <f>SUM(tblTheoretical_Value[[#This Row],[Investment Other Inc/(Exp)]],tblTheoretical_Value[[#This Row],[Gains/(Losses)]],tblTheoretical_Value[[#This Row],[Non-Portfolio P&amp;L Activity]])-tblTheoretical_Value[[#This Row],[Carried Interest Allocation]]</f>
        <v>36167.279999999999</v>
      </c>
      <c r="S3" s="89">
        <v>0</v>
      </c>
      <c r="T3" s="89">
        <f>SUM(tblTheoretical_Value[[#This Row],[Investment Other Inc/(Exp)]],tblTheoretical_Value[[#This Row],[Gains/(Losses)]],tblTheoretical_Value[[#This Row],[Non-Portfolio P&amp;L Activity]])-tblTheoretical_Value[[#This Row],[Carried Interest Allocation]]+tblTheoretical_Value[[#This Row],[Syndication Costs]]</f>
        <v>36167.279999999999</v>
      </c>
    </row>
    <row r="4" spans="1:20" x14ac:dyDescent="0.25">
      <c r="A4" s="88" t="s">
        <v>99</v>
      </c>
      <c r="B4" s="89"/>
      <c r="C4" s="88" t="s">
        <v>70</v>
      </c>
      <c r="D4" s="90" t="s">
        <v>4</v>
      </c>
      <c r="E4" s="101" t="s">
        <v>70</v>
      </c>
      <c r="G4" s="90">
        <v>8384</v>
      </c>
      <c r="H4" s="89">
        <v>150000</v>
      </c>
      <c r="I4" s="89">
        <v>94601.05</v>
      </c>
      <c r="J4" s="89">
        <v>-100288.35</v>
      </c>
      <c r="K4" s="89">
        <v>8394.33</v>
      </c>
      <c r="L4" s="89">
        <v>8394.33</v>
      </c>
      <c r="M4" s="89">
        <v>4477.6499999999996</v>
      </c>
      <c r="N4" s="89">
        <v>8370.01</v>
      </c>
      <c r="O4" s="89">
        <v>1233.97</v>
      </c>
      <c r="P4" s="89">
        <v>14081.63</v>
      </c>
      <c r="Q4" s="89">
        <v>0</v>
      </c>
      <c r="R4" s="89">
        <f>SUM(tblTheoretical_Value[[#This Row],[Investment Other Inc/(Exp)]],tblTheoretical_Value[[#This Row],[Gains/(Losses)]],tblTheoretical_Value[[#This Row],[Non-Portfolio P&amp;L Activity]])-tblTheoretical_Value[[#This Row],[Carried Interest Allocation]]</f>
        <v>14081.63</v>
      </c>
      <c r="S4" s="89">
        <v>0</v>
      </c>
      <c r="T4" s="89">
        <f>SUM(tblTheoretical_Value[[#This Row],[Investment Other Inc/(Exp)]],tblTheoretical_Value[[#This Row],[Gains/(Losses)]],tblTheoretical_Value[[#This Row],[Non-Portfolio P&amp;L Activity]])-tblTheoretical_Value[[#This Row],[Carried Interest Allocation]]+tblTheoretical_Value[[#This Row],[Syndication Costs]]</f>
        <v>14081.63</v>
      </c>
    </row>
    <row r="5" spans="1:20" x14ac:dyDescent="0.25">
      <c r="A5" s="88" t="s">
        <v>99</v>
      </c>
      <c r="B5" s="89"/>
      <c r="C5" s="88" t="s">
        <v>71</v>
      </c>
      <c r="D5" s="90" t="s">
        <v>4</v>
      </c>
      <c r="E5" s="101" t="s">
        <v>71</v>
      </c>
      <c r="G5" s="90">
        <v>8387</v>
      </c>
      <c r="H5" s="89">
        <v>8000000</v>
      </c>
      <c r="I5" s="89">
        <v>7439358.2800000003</v>
      </c>
      <c r="J5" s="89">
        <v>-6340857.2800000003</v>
      </c>
      <c r="K5" s="89">
        <v>2103484.27</v>
      </c>
      <c r="L5" s="89">
        <v>2103484.27</v>
      </c>
      <c r="M5" s="89">
        <v>302007.37</v>
      </c>
      <c r="N5" s="89">
        <v>618337.36</v>
      </c>
      <c r="O5" s="89">
        <v>84638.54</v>
      </c>
      <c r="P5" s="89">
        <v>1004983.27</v>
      </c>
      <c r="Q5" s="89">
        <v>0</v>
      </c>
      <c r="R5" s="89">
        <f>SUM(tblTheoretical_Value[[#This Row],[Investment Other Inc/(Exp)]],tblTheoretical_Value[[#This Row],[Gains/(Losses)]],tblTheoretical_Value[[#This Row],[Non-Portfolio P&amp;L Activity]])-tblTheoretical_Value[[#This Row],[Carried Interest Allocation]]</f>
        <v>1004983.27</v>
      </c>
      <c r="S5" s="89">
        <v>0</v>
      </c>
      <c r="T5" s="89">
        <f>SUM(tblTheoretical_Value[[#This Row],[Investment Other Inc/(Exp)]],tblTheoretical_Value[[#This Row],[Gains/(Losses)]],tblTheoretical_Value[[#This Row],[Non-Portfolio P&amp;L Activity]])-tblTheoretical_Value[[#This Row],[Carried Interest Allocation]]+tblTheoretical_Value[[#This Row],[Syndication Costs]]</f>
        <v>1004983.27</v>
      </c>
    </row>
    <row r="6" spans="1:20" x14ac:dyDescent="0.25">
      <c r="A6" s="88" t="s">
        <v>99</v>
      </c>
      <c r="B6" s="89"/>
      <c r="C6" s="88" t="s">
        <v>72</v>
      </c>
      <c r="D6" s="90" t="s">
        <v>4</v>
      </c>
      <c r="E6" s="101" t="s">
        <v>72</v>
      </c>
      <c r="G6" s="90">
        <v>8360</v>
      </c>
      <c r="H6" s="89">
        <v>200000</v>
      </c>
      <c r="I6" s="89">
        <v>221893.51</v>
      </c>
      <c r="J6" s="89">
        <v>-173403.58</v>
      </c>
      <c r="K6" s="89">
        <v>71224.399999999994</v>
      </c>
      <c r="L6" s="89">
        <v>71224.399999999994</v>
      </c>
      <c r="M6" s="89">
        <v>4260.53</v>
      </c>
      <c r="N6" s="89">
        <v>17252.509999999998</v>
      </c>
      <c r="O6" s="89">
        <v>1221.43</v>
      </c>
      <c r="P6" s="89">
        <v>22734.47</v>
      </c>
      <c r="Q6" s="89">
        <v>0</v>
      </c>
      <c r="R6" s="89">
        <f>SUM(tblTheoretical_Value[[#This Row],[Investment Other Inc/(Exp)]],tblTheoretical_Value[[#This Row],[Gains/(Losses)]],tblTheoretical_Value[[#This Row],[Non-Portfolio P&amp;L Activity]])-tblTheoretical_Value[[#This Row],[Carried Interest Allocation]]</f>
        <v>22734.469999999998</v>
      </c>
      <c r="S6" s="89">
        <v>0</v>
      </c>
      <c r="T6" s="89">
        <f>SUM(tblTheoretical_Value[[#This Row],[Investment Other Inc/(Exp)]],tblTheoretical_Value[[#This Row],[Gains/(Losses)]],tblTheoretical_Value[[#This Row],[Non-Portfolio P&amp;L Activity]])-tblTheoretical_Value[[#This Row],[Carried Interest Allocation]]+tblTheoretical_Value[[#This Row],[Syndication Costs]]</f>
        <v>22734.469999999998</v>
      </c>
    </row>
    <row r="7" spans="1:20" x14ac:dyDescent="0.25">
      <c r="A7" s="88" t="s">
        <v>99</v>
      </c>
      <c r="B7" s="89"/>
      <c r="C7" s="88" t="s">
        <v>73</v>
      </c>
      <c r="D7" s="90" t="s">
        <v>4</v>
      </c>
      <c r="E7" s="101" t="s">
        <v>73</v>
      </c>
      <c r="G7" s="90">
        <v>8406</v>
      </c>
      <c r="H7" s="89">
        <v>200000</v>
      </c>
      <c r="I7" s="89">
        <v>221893.51</v>
      </c>
      <c r="J7" s="89">
        <v>-173403.58</v>
      </c>
      <c r="K7" s="89">
        <v>77423.61</v>
      </c>
      <c r="L7" s="89">
        <v>77423.61</v>
      </c>
      <c r="M7" s="89">
        <v>8498.02</v>
      </c>
      <c r="N7" s="89">
        <v>18037.310000000001</v>
      </c>
      <c r="O7" s="89">
        <v>2398.35</v>
      </c>
      <c r="P7" s="89">
        <v>28933.68</v>
      </c>
      <c r="Q7" s="89">
        <v>0</v>
      </c>
      <c r="R7" s="89">
        <f>SUM(tblTheoretical_Value[[#This Row],[Investment Other Inc/(Exp)]],tblTheoretical_Value[[#This Row],[Gains/(Losses)]],tblTheoretical_Value[[#This Row],[Non-Portfolio P&amp;L Activity]])-tblTheoretical_Value[[#This Row],[Carried Interest Allocation]]</f>
        <v>28933.68</v>
      </c>
      <c r="S7" s="89">
        <v>0</v>
      </c>
      <c r="T7" s="89">
        <f>SUM(tblTheoretical_Value[[#This Row],[Investment Other Inc/(Exp)]],tblTheoretical_Value[[#This Row],[Gains/(Losses)]],tblTheoretical_Value[[#This Row],[Non-Portfolio P&amp;L Activity]])-tblTheoretical_Value[[#This Row],[Carried Interest Allocation]]+tblTheoretical_Value[[#This Row],[Syndication Costs]]</f>
        <v>28933.68</v>
      </c>
    </row>
    <row r="8" spans="1:20" x14ac:dyDescent="0.25">
      <c r="A8" s="88" t="s">
        <v>99</v>
      </c>
      <c r="B8" s="89"/>
      <c r="C8" s="88" t="s">
        <v>74</v>
      </c>
      <c r="D8" s="90" t="s">
        <v>4</v>
      </c>
      <c r="E8" s="101" t="s">
        <v>74</v>
      </c>
      <c r="G8" s="90">
        <v>8357</v>
      </c>
      <c r="H8" s="89">
        <v>5950000</v>
      </c>
      <c r="I8" s="89">
        <v>6601331.5999999996</v>
      </c>
      <c r="J8" s="89">
        <v>-5158756.55</v>
      </c>
      <c r="K8" s="89">
        <v>2303358.5299999998</v>
      </c>
      <c r="L8" s="89">
        <v>2303358.5299999998</v>
      </c>
      <c r="M8" s="89">
        <v>252817.55</v>
      </c>
      <c r="N8" s="89">
        <v>536614.27</v>
      </c>
      <c r="O8" s="89">
        <v>71351.66</v>
      </c>
      <c r="P8" s="89">
        <v>860783.48</v>
      </c>
      <c r="Q8" s="89">
        <v>0</v>
      </c>
      <c r="R8" s="89">
        <f>SUM(tblTheoretical_Value[[#This Row],[Investment Other Inc/(Exp)]],tblTheoretical_Value[[#This Row],[Gains/(Losses)]],tblTheoretical_Value[[#This Row],[Non-Portfolio P&amp;L Activity]])-tblTheoretical_Value[[#This Row],[Carried Interest Allocation]]</f>
        <v>860783.4800000001</v>
      </c>
      <c r="S8" s="89">
        <v>0</v>
      </c>
      <c r="T8" s="89">
        <f>SUM(tblTheoretical_Value[[#This Row],[Investment Other Inc/(Exp)]],tblTheoretical_Value[[#This Row],[Gains/(Losses)]],tblTheoretical_Value[[#This Row],[Non-Portfolio P&amp;L Activity]])-tblTheoretical_Value[[#This Row],[Carried Interest Allocation]]+tblTheoretical_Value[[#This Row],[Syndication Costs]]</f>
        <v>860783.4800000001</v>
      </c>
    </row>
    <row r="9" spans="1:20" x14ac:dyDescent="0.25">
      <c r="A9" s="88" t="s">
        <v>99</v>
      </c>
      <c r="B9" s="89"/>
      <c r="C9" s="88" t="s">
        <v>75</v>
      </c>
      <c r="D9" s="90" t="s">
        <v>4</v>
      </c>
      <c r="E9" s="101" t="s">
        <v>75</v>
      </c>
      <c r="G9" s="90">
        <v>8391</v>
      </c>
      <c r="H9" s="89">
        <v>35350000</v>
      </c>
      <c r="I9" s="89">
        <v>22461889.489999998</v>
      </c>
      <c r="J9" s="89">
        <v>-23704080.800000001</v>
      </c>
      <c r="K9" s="89">
        <v>2094197.55</v>
      </c>
      <c r="L9" s="89">
        <v>2094197.55</v>
      </c>
      <c r="M9" s="89">
        <v>1059687.55</v>
      </c>
      <c r="N9" s="89">
        <v>1984580.57</v>
      </c>
      <c r="O9" s="89">
        <v>292120.74</v>
      </c>
      <c r="P9" s="89">
        <v>3336388.86</v>
      </c>
      <c r="Q9" s="89">
        <v>0</v>
      </c>
      <c r="R9" s="89">
        <f>SUM(tblTheoretical_Value[[#This Row],[Investment Other Inc/(Exp)]],tblTheoretical_Value[[#This Row],[Gains/(Losses)]],tblTheoretical_Value[[#This Row],[Non-Portfolio P&amp;L Activity]])-tblTheoretical_Value[[#This Row],[Carried Interest Allocation]]</f>
        <v>3336388.8600000003</v>
      </c>
      <c r="S9" s="89">
        <v>0</v>
      </c>
      <c r="T9" s="89">
        <f>SUM(tblTheoretical_Value[[#This Row],[Investment Other Inc/(Exp)]],tblTheoretical_Value[[#This Row],[Gains/(Losses)]],tblTheoretical_Value[[#This Row],[Non-Portfolio P&amp;L Activity]])-tblTheoretical_Value[[#This Row],[Carried Interest Allocation]]+tblTheoretical_Value[[#This Row],[Syndication Costs]]</f>
        <v>3336388.8600000003</v>
      </c>
    </row>
    <row r="10" spans="1:20" x14ac:dyDescent="0.25">
      <c r="A10" s="88" t="s">
        <v>99</v>
      </c>
      <c r="B10" s="89"/>
      <c r="C10" s="88" t="s">
        <v>76</v>
      </c>
      <c r="D10" s="90" t="s">
        <v>4</v>
      </c>
      <c r="E10" s="101" t="s">
        <v>76</v>
      </c>
      <c r="G10" s="90">
        <v>8390</v>
      </c>
      <c r="H10" s="89">
        <v>194716</v>
      </c>
      <c r="I10" s="89">
        <v>122802.25</v>
      </c>
      <c r="J10" s="89">
        <v>-130185.05</v>
      </c>
      <c r="K10" s="89">
        <v>10896.92</v>
      </c>
      <c r="L10" s="89">
        <v>10896.92</v>
      </c>
      <c r="M10" s="89">
        <v>5812.67</v>
      </c>
      <c r="N10" s="89">
        <v>10865.24</v>
      </c>
      <c r="O10" s="89">
        <v>1601.81</v>
      </c>
      <c r="P10" s="89">
        <v>18279.72</v>
      </c>
      <c r="Q10" s="89">
        <v>0</v>
      </c>
      <c r="R10" s="89">
        <f>SUM(tblTheoretical_Value[[#This Row],[Investment Other Inc/(Exp)]],tblTheoretical_Value[[#This Row],[Gains/(Losses)]],tblTheoretical_Value[[#This Row],[Non-Portfolio P&amp;L Activity]])-tblTheoretical_Value[[#This Row],[Carried Interest Allocation]]</f>
        <v>18279.72</v>
      </c>
      <c r="S10" s="89">
        <v>0</v>
      </c>
      <c r="T10" s="89">
        <f>SUM(tblTheoretical_Value[[#This Row],[Investment Other Inc/(Exp)]],tblTheoretical_Value[[#This Row],[Gains/(Losses)]],tblTheoretical_Value[[#This Row],[Non-Portfolio P&amp;L Activity]])-tblTheoretical_Value[[#This Row],[Carried Interest Allocation]]+tblTheoretical_Value[[#This Row],[Syndication Costs]]</f>
        <v>18279.72</v>
      </c>
    </row>
    <row r="11" spans="1:20" x14ac:dyDescent="0.25">
      <c r="A11" s="88" t="s">
        <v>99</v>
      </c>
      <c r="B11" s="89"/>
      <c r="C11" s="88" t="s">
        <v>77</v>
      </c>
      <c r="D11" s="90" t="s">
        <v>4</v>
      </c>
      <c r="E11" s="101" t="s">
        <v>77</v>
      </c>
      <c r="G11" s="90">
        <v>8374</v>
      </c>
      <c r="H11" s="89">
        <v>2000000</v>
      </c>
      <c r="I11" s="89">
        <v>0</v>
      </c>
      <c r="J11" s="89">
        <v>-36036.04</v>
      </c>
      <c r="K11" s="89">
        <v>-26846.85</v>
      </c>
      <c r="L11" s="89">
        <v>-26846.85</v>
      </c>
      <c r="M11" s="89">
        <v>0</v>
      </c>
      <c r="N11" s="89">
        <v>9189.19</v>
      </c>
      <c r="O11" s="89">
        <v>0</v>
      </c>
      <c r="P11" s="89">
        <v>9189.19</v>
      </c>
      <c r="Q11" s="89">
        <v>0</v>
      </c>
      <c r="R11" s="89">
        <f>SUM(tblTheoretical_Value[[#This Row],[Investment Other Inc/(Exp)]],tblTheoretical_Value[[#This Row],[Gains/(Losses)]],tblTheoretical_Value[[#This Row],[Non-Portfolio P&amp;L Activity]])-tblTheoretical_Value[[#This Row],[Carried Interest Allocation]]</f>
        <v>9189.19</v>
      </c>
      <c r="S11" s="89">
        <v>0</v>
      </c>
      <c r="T11" s="89">
        <f>SUM(tblTheoretical_Value[[#This Row],[Investment Other Inc/(Exp)]],tblTheoretical_Value[[#This Row],[Gains/(Losses)]],tblTheoretical_Value[[#This Row],[Non-Portfolio P&amp;L Activity]])-tblTheoretical_Value[[#This Row],[Carried Interest Allocation]]+tblTheoretical_Value[[#This Row],[Syndication Costs]]</f>
        <v>9189.19</v>
      </c>
    </row>
    <row r="12" spans="1:20" x14ac:dyDescent="0.25">
      <c r="A12" s="88" t="s">
        <v>99</v>
      </c>
      <c r="B12" s="89"/>
      <c r="C12" s="88" t="s">
        <v>78</v>
      </c>
      <c r="D12" s="90" t="s">
        <v>4</v>
      </c>
      <c r="E12" s="101" t="s">
        <v>78</v>
      </c>
      <c r="G12" s="90">
        <v>8381</v>
      </c>
      <c r="H12" s="89">
        <v>89245</v>
      </c>
      <c r="I12" s="89">
        <v>56284.45</v>
      </c>
      <c r="J12" s="89">
        <v>-59668.160000000003</v>
      </c>
      <c r="K12" s="89">
        <v>4994.4399999999996</v>
      </c>
      <c r="L12" s="89">
        <v>4994.4399999999996</v>
      </c>
      <c r="M12" s="89">
        <v>2664.22</v>
      </c>
      <c r="N12" s="89">
        <v>4979.83</v>
      </c>
      <c r="O12" s="89">
        <v>734.1</v>
      </c>
      <c r="P12" s="89">
        <v>8378.15</v>
      </c>
      <c r="Q12" s="89">
        <v>0</v>
      </c>
      <c r="R12" s="89">
        <f>SUM(tblTheoretical_Value[[#This Row],[Investment Other Inc/(Exp)]],tblTheoretical_Value[[#This Row],[Gains/(Losses)]],tblTheoretical_Value[[#This Row],[Non-Portfolio P&amp;L Activity]])-tblTheoretical_Value[[#This Row],[Carried Interest Allocation]]</f>
        <v>8378.15</v>
      </c>
      <c r="S12" s="89">
        <v>0</v>
      </c>
      <c r="T12" s="89">
        <f>SUM(tblTheoretical_Value[[#This Row],[Investment Other Inc/(Exp)]],tblTheoretical_Value[[#This Row],[Gains/(Losses)]],tblTheoretical_Value[[#This Row],[Non-Portfolio P&amp;L Activity]])-tblTheoretical_Value[[#This Row],[Carried Interest Allocation]]+tblTheoretical_Value[[#This Row],[Syndication Costs]]</f>
        <v>8378.15</v>
      </c>
    </row>
    <row r="13" spans="1:20" x14ac:dyDescent="0.25">
      <c r="A13" s="88" t="s">
        <v>99</v>
      </c>
      <c r="B13" s="89"/>
      <c r="C13" s="88" t="s">
        <v>79</v>
      </c>
      <c r="D13" s="90" t="s">
        <v>4</v>
      </c>
      <c r="E13" s="101" t="s">
        <v>79</v>
      </c>
      <c r="G13" s="90">
        <v>8370</v>
      </c>
      <c r="H13" s="89">
        <v>400000</v>
      </c>
      <c r="I13" s="89">
        <v>443786.97</v>
      </c>
      <c r="J13" s="89">
        <v>-346807.19</v>
      </c>
      <c r="K13" s="89">
        <v>154847.65</v>
      </c>
      <c r="L13" s="89">
        <v>154847.65</v>
      </c>
      <c r="M13" s="89">
        <v>16996.150000000001</v>
      </c>
      <c r="N13" s="89">
        <v>36074.959999999999</v>
      </c>
      <c r="O13" s="89">
        <v>4796.76</v>
      </c>
      <c r="P13" s="89">
        <v>57867.87</v>
      </c>
      <c r="Q13" s="89">
        <v>0</v>
      </c>
      <c r="R13" s="89">
        <f>SUM(tblTheoretical_Value[[#This Row],[Investment Other Inc/(Exp)]],tblTheoretical_Value[[#This Row],[Gains/(Losses)]],tblTheoretical_Value[[#This Row],[Non-Portfolio P&amp;L Activity]])-tblTheoretical_Value[[#This Row],[Carried Interest Allocation]]</f>
        <v>57867.87</v>
      </c>
      <c r="S13" s="89">
        <v>0</v>
      </c>
      <c r="T13" s="89">
        <f>SUM(tblTheoretical_Value[[#This Row],[Investment Other Inc/(Exp)]],tblTheoretical_Value[[#This Row],[Gains/(Losses)]],tblTheoretical_Value[[#This Row],[Non-Portfolio P&amp;L Activity]])-tblTheoretical_Value[[#This Row],[Carried Interest Allocation]]+tblTheoretical_Value[[#This Row],[Syndication Costs]]</f>
        <v>57867.87</v>
      </c>
    </row>
    <row r="14" spans="1:20" x14ac:dyDescent="0.25">
      <c r="A14" s="88" t="s">
        <v>99</v>
      </c>
      <c r="B14" s="89"/>
      <c r="C14" s="88" t="s">
        <v>80</v>
      </c>
      <c r="D14" s="90" t="s">
        <v>4</v>
      </c>
      <c r="E14" s="101" t="s">
        <v>80</v>
      </c>
      <c r="G14" s="90">
        <v>8389</v>
      </c>
      <c r="H14" s="89">
        <v>332453</v>
      </c>
      <c r="I14" s="89">
        <v>353307.53</v>
      </c>
      <c r="J14" s="89">
        <v>-281803.06</v>
      </c>
      <c r="K14" s="89">
        <v>117951.98</v>
      </c>
      <c r="L14" s="89">
        <v>117951.98</v>
      </c>
      <c r="M14" s="89">
        <v>13715.91</v>
      </c>
      <c r="N14" s="89">
        <v>28867.040000000001</v>
      </c>
      <c r="O14" s="89">
        <v>3864.56</v>
      </c>
      <c r="P14" s="89">
        <v>46447.51</v>
      </c>
      <c r="Q14" s="89">
        <v>0</v>
      </c>
      <c r="R14" s="89">
        <f>SUM(tblTheoretical_Value[[#This Row],[Investment Other Inc/(Exp)]],tblTheoretical_Value[[#This Row],[Gains/(Losses)]],tblTheoretical_Value[[#This Row],[Non-Portfolio P&amp;L Activity]])-tblTheoretical_Value[[#This Row],[Carried Interest Allocation]]</f>
        <v>46447.509999999995</v>
      </c>
      <c r="S14" s="89">
        <v>0</v>
      </c>
      <c r="T14" s="89">
        <f>SUM(tblTheoretical_Value[[#This Row],[Investment Other Inc/(Exp)]],tblTheoretical_Value[[#This Row],[Gains/(Losses)]],tblTheoretical_Value[[#This Row],[Non-Portfolio P&amp;L Activity]])-tblTheoretical_Value[[#This Row],[Carried Interest Allocation]]+tblTheoretical_Value[[#This Row],[Syndication Costs]]</f>
        <v>46447.509999999995</v>
      </c>
    </row>
    <row r="15" spans="1:20" x14ac:dyDescent="0.25">
      <c r="A15" s="88" t="s">
        <v>99</v>
      </c>
      <c r="B15" s="89"/>
      <c r="C15" s="88" t="s">
        <v>81</v>
      </c>
      <c r="D15" s="90" t="s">
        <v>4</v>
      </c>
      <c r="E15" s="101" t="s">
        <v>81</v>
      </c>
      <c r="G15" s="90">
        <v>8388</v>
      </c>
      <c r="H15" s="89">
        <v>32453</v>
      </c>
      <c r="I15" s="89">
        <v>20467.259999999998</v>
      </c>
      <c r="J15" s="89">
        <v>-21697.7</v>
      </c>
      <c r="K15" s="89">
        <v>1816.25</v>
      </c>
      <c r="L15" s="89">
        <v>1816.25</v>
      </c>
      <c r="M15" s="89">
        <v>968.89</v>
      </c>
      <c r="N15" s="89">
        <v>1810.85</v>
      </c>
      <c r="O15" s="89">
        <v>266.95</v>
      </c>
      <c r="P15" s="89">
        <v>3046.69</v>
      </c>
      <c r="Q15" s="89">
        <v>0</v>
      </c>
      <c r="R15" s="89">
        <f>SUM(tblTheoretical_Value[[#This Row],[Investment Other Inc/(Exp)]],tblTheoretical_Value[[#This Row],[Gains/(Losses)]],tblTheoretical_Value[[#This Row],[Non-Portfolio P&amp;L Activity]])-tblTheoretical_Value[[#This Row],[Carried Interest Allocation]]</f>
        <v>3046.6899999999996</v>
      </c>
      <c r="S15" s="89">
        <v>0</v>
      </c>
      <c r="T15" s="89">
        <f>SUM(tblTheoretical_Value[[#This Row],[Investment Other Inc/(Exp)]],tblTheoretical_Value[[#This Row],[Gains/(Losses)]],tblTheoretical_Value[[#This Row],[Non-Portfolio P&amp;L Activity]])-tblTheoretical_Value[[#This Row],[Carried Interest Allocation]]+tblTheoretical_Value[[#This Row],[Syndication Costs]]</f>
        <v>3046.6899999999996</v>
      </c>
    </row>
    <row r="16" spans="1:20" x14ac:dyDescent="0.25">
      <c r="A16" s="88" t="s">
        <v>99</v>
      </c>
      <c r="B16" s="89"/>
      <c r="C16" s="88" t="s">
        <v>82</v>
      </c>
      <c r="D16" s="90" t="s">
        <v>4</v>
      </c>
      <c r="E16" s="101" t="s">
        <v>82</v>
      </c>
      <c r="G16" s="90">
        <v>8365</v>
      </c>
      <c r="H16" s="89">
        <v>2000000</v>
      </c>
      <c r="I16" s="89">
        <v>0</v>
      </c>
      <c r="J16" s="89">
        <v>-36036.04</v>
      </c>
      <c r="K16" s="89">
        <v>-26846.85</v>
      </c>
      <c r="L16" s="89">
        <v>-26846.85</v>
      </c>
      <c r="M16" s="89">
        <v>0</v>
      </c>
      <c r="N16" s="89">
        <v>9189.19</v>
      </c>
      <c r="O16" s="89">
        <v>0</v>
      </c>
      <c r="P16" s="89">
        <v>9189.19</v>
      </c>
      <c r="Q16" s="89">
        <v>0</v>
      </c>
      <c r="R16" s="89">
        <f>SUM(tblTheoretical_Value[[#This Row],[Investment Other Inc/(Exp)]],tblTheoretical_Value[[#This Row],[Gains/(Losses)]],tblTheoretical_Value[[#This Row],[Non-Portfolio P&amp;L Activity]])-tblTheoretical_Value[[#This Row],[Carried Interest Allocation]]</f>
        <v>9189.19</v>
      </c>
      <c r="S16" s="89">
        <v>0</v>
      </c>
      <c r="T16" s="89">
        <f>SUM(tblTheoretical_Value[[#This Row],[Investment Other Inc/(Exp)]],tblTheoretical_Value[[#This Row],[Gains/(Losses)]],tblTheoretical_Value[[#This Row],[Non-Portfolio P&amp;L Activity]])-tblTheoretical_Value[[#This Row],[Carried Interest Allocation]]+tblTheoretical_Value[[#This Row],[Syndication Costs]]</f>
        <v>9189.19</v>
      </c>
    </row>
    <row r="17" spans="1:20" x14ac:dyDescent="0.25">
      <c r="A17" s="88" t="s">
        <v>99</v>
      </c>
      <c r="B17" s="89"/>
      <c r="C17" s="88" t="s">
        <v>83</v>
      </c>
      <c r="D17" s="90" t="s">
        <v>4</v>
      </c>
      <c r="E17" s="101" t="s">
        <v>83</v>
      </c>
      <c r="G17" s="90">
        <v>8394</v>
      </c>
      <c r="H17" s="89">
        <v>12100000</v>
      </c>
      <c r="I17" s="89">
        <v>7679029.9500000002</v>
      </c>
      <c r="J17" s="89">
        <v>-8109773.1399999997</v>
      </c>
      <c r="K17" s="89">
        <v>710268.72</v>
      </c>
      <c r="L17" s="89">
        <v>710268.72</v>
      </c>
      <c r="M17" s="89">
        <v>362471.97</v>
      </c>
      <c r="N17" s="89">
        <v>678624.06</v>
      </c>
      <c r="O17" s="89">
        <v>99915.88</v>
      </c>
      <c r="P17" s="89">
        <v>1141011.9099999999</v>
      </c>
      <c r="Q17" s="89">
        <v>0</v>
      </c>
      <c r="R17" s="89">
        <f>SUM(tblTheoretical_Value[[#This Row],[Investment Other Inc/(Exp)]],tblTheoretical_Value[[#This Row],[Gains/(Losses)]],tblTheoretical_Value[[#This Row],[Non-Portfolio P&amp;L Activity]])-tblTheoretical_Value[[#This Row],[Carried Interest Allocation]]</f>
        <v>1141011.9100000001</v>
      </c>
      <c r="S17" s="89">
        <v>0</v>
      </c>
      <c r="T17" s="89">
        <f>SUM(tblTheoretical_Value[[#This Row],[Investment Other Inc/(Exp)]],tblTheoretical_Value[[#This Row],[Gains/(Losses)]],tblTheoretical_Value[[#This Row],[Non-Portfolio P&amp;L Activity]])-tblTheoretical_Value[[#This Row],[Carried Interest Allocation]]+tblTheoretical_Value[[#This Row],[Syndication Costs]]</f>
        <v>1141011.9100000001</v>
      </c>
    </row>
    <row r="18" spans="1:20" x14ac:dyDescent="0.25">
      <c r="A18" s="88" t="s">
        <v>99</v>
      </c>
      <c r="B18" s="89"/>
      <c r="C18" s="88" t="s">
        <v>84</v>
      </c>
      <c r="D18" s="90" t="s">
        <v>4</v>
      </c>
      <c r="E18" s="101" t="s">
        <v>84</v>
      </c>
      <c r="G18" s="90">
        <v>8393</v>
      </c>
      <c r="H18" s="89">
        <v>194716</v>
      </c>
      <c r="I18" s="89">
        <v>122802.25</v>
      </c>
      <c r="J18" s="89">
        <v>-130185.05</v>
      </c>
      <c r="K18" s="89">
        <v>10896.92</v>
      </c>
      <c r="L18" s="89">
        <v>10896.92</v>
      </c>
      <c r="M18" s="89">
        <v>5812.67</v>
      </c>
      <c r="N18" s="89">
        <v>10865.24</v>
      </c>
      <c r="O18" s="89">
        <v>1601.81</v>
      </c>
      <c r="P18" s="89">
        <v>18279.72</v>
      </c>
      <c r="Q18" s="89">
        <v>0</v>
      </c>
      <c r="R18" s="89">
        <f>SUM(tblTheoretical_Value[[#This Row],[Investment Other Inc/(Exp)]],tblTheoretical_Value[[#This Row],[Gains/(Losses)]],tblTheoretical_Value[[#This Row],[Non-Portfolio P&amp;L Activity]])-tblTheoretical_Value[[#This Row],[Carried Interest Allocation]]</f>
        <v>18279.72</v>
      </c>
      <c r="S18" s="89">
        <v>0</v>
      </c>
      <c r="T18" s="89">
        <f>SUM(tblTheoretical_Value[[#This Row],[Investment Other Inc/(Exp)]],tblTheoretical_Value[[#This Row],[Gains/(Losses)]],tblTheoretical_Value[[#This Row],[Non-Portfolio P&amp;L Activity]])-tblTheoretical_Value[[#This Row],[Carried Interest Allocation]]+tblTheoretical_Value[[#This Row],[Syndication Costs]]</f>
        <v>18279.72</v>
      </c>
    </row>
    <row r="19" spans="1:20" x14ac:dyDescent="0.25">
      <c r="A19" s="88" t="s">
        <v>99</v>
      </c>
      <c r="B19" s="89"/>
      <c r="C19" s="88" t="s">
        <v>85</v>
      </c>
      <c r="D19" s="90" t="s">
        <v>4</v>
      </c>
      <c r="E19" s="101" t="s">
        <v>85</v>
      </c>
      <c r="G19" s="90">
        <v>8382</v>
      </c>
      <c r="H19" s="89">
        <v>4000000</v>
      </c>
      <c r="I19" s="89">
        <v>3240885.25</v>
      </c>
      <c r="J19" s="89">
        <v>-2972000.05</v>
      </c>
      <c r="K19" s="89">
        <v>720586.25</v>
      </c>
      <c r="L19" s="89">
        <v>720586.25</v>
      </c>
      <c r="M19" s="89">
        <v>138365.19</v>
      </c>
      <c r="N19" s="89">
        <v>274782.05</v>
      </c>
      <c r="O19" s="89">
        <v>38553.81</v>
      </c>
      <c r="P19" s="89">
        <v>451701.05</v>
      </c>
      <c r="Q19" s="89">
        <v>0</v>
      </c>
      <c r="R19" s="89">
        <f>SUM(tblTheoretical_Value[[#This Row],[Investment Other Inc/(Exp)]],tblTheoretical_Value[[#This Row],[Gains/(Losses)]],tblTheoretical_Value[[#This Row],[Non-Portfolio P&amp;L Activity]])-tblTheoretical_Value[[#This Row],[Carried Interest Allocation]]</f>
        <v>451701.05</v>
      </c>
      <c r="S19" s="89">
        <v>0</v>
      </c>
      <c r="T19" s="89">
        <f>SUM(tblTheoretical_Value[[#This Row],[Investment Other Inc/(Exp)]],tblTheoretical_Value[[#This Row],[Gains/(Losses)]],tblTheoretical_Value[[#This Row],[Non-Portfolio P&amp;L Activity]])-tblTheoretical_Value[[#This Row],[Carried Interest Allocation]]+tblTheoretical_Value[[#This Row],[Syndication Costs]]</f>
        <v>451701.05</v>
      </c>
    </row>
    <row r="20" spans="1:20" x14ac:dyDescent="0.25">
      <c r="A20" s="88" t="s">
        <v>99</v>
      </c>
      <c r="B20" s="89"/>
      <c r="C20" s="88" t="s">
        <v>86</v>
      </c>
      <c r="D20" s="90" t="s">
        <v>4</v>
      </c>
      <c r="E20" s="101" t="s">
        <v>86</v>
      </c>
      <c r="G20" s="90">
        <v>8403</v>
      </c>
      <c r="H20" s="89">
        <v>10000000</v>
      </c>
      <c r="I20" s="89">
        <v>6306736</v>
      </c>
      <c r="J20" s="89">
        <v>-6685892.6799999997</v>
      </c>
      <c r="K20" s="89">
        <v>559630.36</v>
      </c>
      <c r="L20" s="89">
        <v>559630.36</v>
      </c>
      <c r="M20" s="89">
        <v>298518.96999999997</v>
      </c>
      <c r="N20" s="89">
        <v>558004.22</v>
      </c>
      <c r="O20" s="89">
        <v>82263.850000000006</v>
      </c>
      <c r="P20" s="89">
        <v>938787.04</v>
      </c>
      <c r="Q20" s="89">
        <v>0</v>
      </c>
      <c r="R20" s="89">
        <f>SUM(tblTheoretical_Value[[#This Row],[Investment Other Inc/(Exp)]],tblTheoretical_Value[[#This Row],[Gains/(Losses)]],tblTheoretical_Value[[#This Row],[Non-Portfolio P&amp;L Activity]])-tblTheoretical_Value[[#This Row],[Carried Interest Allocation]]</f>
        <v>938787.03999999992</v>
      </c>
      <c r="S20" s="89">
        <v>0</v>
      </c>
      <c r="T20" s="89">
        <f>SUM(tblTheoretical_Value[[#This Row],[Investment Other Inc/(Exp)]],tblTheoretical_Value[[#This Row],[Gains/(Losses)]],tblTheoretical_Value[[#This Row],[Non-Portfolio P&amp;L Activity]])-tblTheoretical_Value[[#This Row],[Carried Interest Allocation]]+tblTheoretical_Value[[#This Row],[Syndication Costs]]</f>
        <v>938787.03999999992</v>
      </c>
    </row>
    <row r="21" spans="1:20" x14ac:dyDescent="0.25">
      <c r="A21" s="88" t="s">
        <v>99</v>
      </c>
      <c r="B21" s="89"/>
      <c r="C21" s="88" t="s">
        <v>87</v>
      </c>
      <c r="D21" s="90" t="s">
        <v>4</v>
      </c>
      <c r="E21" s="101" t="s">
        <v>87</v>
      </c>
      <c r="G21" s="90">
        <v>8367</v>
      </c>
      <c r="H21" s="89">
        <v>300000</v>
      </c>
      <c r="I21" s="89">
        <v>332840.27</v>
      </c>
      <c r="J21" s="89">
        <v>-260105.36</v>
      </c>
      <c r="K21" s="89">
        <v>116135.73</v>
      </c>
      <c r="L21" s="89">
        <v>116135.73</v>
      </c>
      <c r="M21" s="89">
        <v>12747.02</v>
      </c>
      <c r="N21" s="89">
        <v>27056.19</v>
      </c>
      <c r="O21" s="89">
        <v>3597.61</v>
      </c>
      <c r="P21" s="89">
        <v>43400.82</v>
      </c>
      <c r="Q21" s="89">
        <v>0</v>
      </c>
      <c r="R21" s="89">
        <f>SUM(tblTheoretical_Value[[#This Row],[Investment Other Inc/(Exp)]],tblTheoretical_Value[[#This Row],[Gains/(Losses)]],tblTheoretical_Value[[#This Row],[Non-Portfolio P&amp;L Activity]])-tblTheoretical_Value[[#This Row],[Carried Interest Allocation]]</f>
        <v>43400.82</v>
      </c>
      <c r="S21" s="89">
        <v>0</v>
      </c>
      <c r="T21" s="89">
        <f>SUM(tblTheoretical_Value[[#This Row],[Investment Other Inc/(Exp)]],tblTheoretical_Value[[#This Row],[Gains/(Losses)]],tblTheoretical_Value[[#This Row],[Non-Portfolio P&amp;L Activity]])-tblTheoretical_Value[[#This Row],[Carried Interest Allocation]]+tblTheoretical_Value[[#This Row],[Syndication Costs]]</f>
        <v>43400.82</v>
      </c>
    </row>
    <row r="22" spans="1:20" x14ac:dyDescent="0.25">
      <c r="A22" s="88" t="s">
        <v>99</v>
      </c>
      <c r="B22" s="89"/>
      <c r="C22" s="88" t="s">
        <v>88</v>
      </c>
      <c r="D22" s="90" t="s">
        <v>4</v>
      </c>
      <c r="E22" s="101" t="s">
        <v>88</v>
      </c>
      <c r="G22" s="90">
        <v>8385</v>
      </c>
      <c r="H22" s="89">
        <v>339245</v>
      </c>
      <c r="I22" s="89">
        <v>333651.31</v>
      </c>
      <c r="J22" s="89">
        <v>-276422.61</v>
      </c>
      <c r="K22" s="89">
        <v>101774.13</v>
      </c>
      <c r="L22" s="89">
        <v>101774.13</v>
      </c>
      <c r="M22" s="89">
        <v>13286.82</v>
      </c>
      <c r="N22" s="89">
        <v>27526.52</v>
      </c>
      <c r="O22" s="89">
        <v>3732.09</v>
      </c>
      <c r="P22" s="89">
        <v>44545.43</v>
      </c>
      <c r="Q22" s="89">
        <v>0</v>
      </c>
      <c r="R22" s="89">
        <f>SUM(tblTheoretical_Value[[#This Row],[Investment Other Inc/(Exp)]],tblTheoretical_Value[[#This Row],[Gains/(Losses)]],tblTheoretical_Value[[#This Row],[Non-Portfolio P&amp;L Activity]])-tblTheoretical_Value[[#This Row],[Carried Interest Allocation]]</f>
        <v>44545.429999999993</v>
      </c>
      <c r="S22" s="89">
        <v>0</v>
      </c>
      <c r="T22" s="89">
        <f>SUM(tblTheoretical_Value[[#This Row],[Investment Other Inc/(Exp)]],tblTheoretical_Value[[#This Row],[Gains/(Losses)]],tblTheoretical_Value[[#This Row],[Non-Portfolio P&amp;L Activity]])-tblTheoretical_Value[[#This Row],[Carried Interest Allocation]]+tblTheoretical_Value[[#This Row],[Syndication Costs]]</f>
        <v>44545.429999999993</v>
      </c>
    </row>
    <row r="23" spans="1:20" x14ac:dyDescent="0.25">
      <c r="A23" s="88" t="s">
        <v>99</v>
      </c>
      <c r="B23" s="89"/>
      <c r="C23" s="88" t="s">
        <v>89</v>
      </c>
      <c r="D23" s="90" t="s">
        <v>4</v>
      </c>
      <c r="E23" s="101" t="s">
        <v>89</v>
      </c>
      <c r="G23" s="90">
        <v>8363</v>
      </c>
      <c r="H23" s="89">
        <v>250000</v>
      </c>
      <c r="I23" s="89">
        <v>277366.86</v>
      </c>
      <c r="J23" s="89">
        <v>-216754.45</v>
      </c>
      <c r="K23" s="89">
        <v>96779.69</v>
      </c>
      <c r="L23" s="89">
        <v>96779.69</v>
      </c>
      <c r="M23" s="89">
        <v>10622.6</v>
      </c>
      <c r="N23" s="89">
        <v>22546.69</v>
      </c>
      <c r="O23" s="89">
        <v>2997.99</v>
      </c>
      <c r="P23" s="89">
        <v>36167.279999999999</v>
      </c>
      <c r="Q23" s="89">
        <v>0</v>
      </c>
      <c r="R23" s="89">
        <f>SUM(tblTheoretical_Value[[#This Row],[Investment Other Inc/(Exp)]],tblTheoretical_Value[[#This Row],[Gains/(Losses)]],tblTheoretical_Value[[#This Row],[Non-Portfolio P&amp;L Activity]])-tblTheoretical_Value[[#This Row],[Carried Interest Allocation]]</f>
        <v>36167.279999999999</v>
      </c>
      <c r="S23" s="89">
        <v>0</v>
      </c>
      <c r="T23" s="89">
        <f>SUM(tblTheoretical_Value[[#This Row],[Investment Other Inc/(Exp)]],tblTheoretical_Value[[#This Row],[Gains/(Losses)]],tblTheoretical_Value[[#This Row],[Non-Portfolio P&amp;L Activity]])-tblTheoretical_Value[[#This Row],[Carried Interest Allocation]]+tblTheoretical_Value[[#This Row],[Syndication Costs]]</f>
        <v>36167.279999999999</v>
      </c>
    </row>
    <row r="24" spans="1:20" x14ac:dyDescent="0.25">
      <c r="A24" s="88" t="s">
        <v>99</v>
      </c>
      <c r="B24" s="89"/>
      <c r="C24" s="88" t="s">
        <v>90</v>
      </c>
      <c r="D24" s="90" t="s">
        <v>4</v>
      </c>
      <c r="E24" s="101" t="s">
        <v>90</v>
      </c>
      <c r="G24" s="90">
        <v>8386</v>
      </c>
      <c r="H24" s="89">
        <v>286800</v>
      </c>
      <c r="I24" s="89">
        <v>180877.18</v>
      </c>
      <c r="J24" s="89">
        <v>-191751.42</v>
      </c>
      <c r="K24" s="89">
        <v>16050.09</v>
      </c>
      <c r="L24" s="89">
        <v>16050.09</v>
      </c>
      <c r="M24" s="89">
        <v>8561.4599999999991</v>
      </c>
      <c r="N24" s="89">
        <v>16003.54</v>
      </c>
      <c r="O24" s="89">
        <v>2359.33</v>
      </c>
      <c r="P24" s="89">
        <v>26924.33</v>
      </c>
      <c r="Q24" s="89">
        <v>0</v>
      </c>
      <c r="R24" s="89">
        <f>SUM(tblTheoretical_Value[[#This Row],[Investment Other Inc/(Exp)]],tblTheoretical_Value[[#This Row],[Gains/(Losses)]],tblTheoretical_Value[[#This Row],[Non-Portfolio P&amp;L Activity]])-tblTheoretical_Value[[#This Row],[Carried Interest Allocation]]</f>
        <v>26924.33</v>
      </c>
      <c r="S24" s="89">
        <v>0</v>
      </c>
      <c r="T24" s="89">
        <f>SUM(tblTheoretical_Value[[#This Row],[Investment Other Inc/(Exp)]],tblTheoretical_Value[[#This Row],[Gains/(Losses)]],tblTheoretical_Value[[#This Row],[Non-Portfolio P&amp;L Activity]])-tblTheoretical_Value[[#This Row],[Carried Interest Allocation]]+tblTheoretical_Value[[#This Row],[Syndication Costs]]</f>
        <v>26924.33</v>
      </c>
    </row>
    <row r="25" spans="1:20" x14ac:dyDescent="0.25">
      <c r="A25" s="88" t="s">
        <v>99</v>
      </c>
      <c r="B25" s="89"/>
      <c r="C25" s="88" t="s">
        <v>91</v>
      </c>
      <c r="D25" s="90" t="s">
        <v>4</v>
      </c>
      <c r="E25" s="101" t="s">
        <v>91</v>
      </c>
      <c r="G25" s="90">
        <v>8402</v>
      </c>
      <c r="H25" s="89">
        <v>5000000</v>
      </c>
      <c r="I25" s="89">
        <v>3153367.99</v>
      </c>
      <c r="J25" s="89">
        <v>-3342946.35</v>
      </c>
      <c r="K25" s="89">
        <v>279815.15999999997</v>
      </c>
      <c r="L25" s="89">
        <v>279815.15999999997</v>
      </c>
      <c r="M25" s="89">
        <v>149259.46</v>
      </c>
      <c r="N25" s="89">
        <v>279002.12</v>
      </c>
      <c r="O25" s="89">
        <v>41131.94</v>
      </c>
      <c r="P25" s="89">
        <v>469393.52</v>
      </c>
      <c r="Q25" s="89">
        <v>0</v>
      </c>
      <c r="R25" s="89">
        <f>SUM(tblTheoretical_Value[[#This Row],[Investment Other Inc/(Exp)]],tblTheoretical_Value[[#This Row],[Gains/(Losses)]],tblTheoretical_Value[[#This Row],[Non-Portfolio P&amp;L Activity]])-tblTheoretical_Value[[#This Row],[Carried Interest Allocation]]</f>
        <v>469393.51999999996</v>
      </c>
      <c r="S25" s="89">
        <v>0</v>
      </c>
      <c r="T25" s="89">
        <f>SUM(tblTheoretical_Value[[#This Row],[Investment Other Inc/(Exp)]],tblTheoretical_Value[[#This Row],[Gains/(Losses)]],tblTheoretical_Value[[#This Row],[Non-Portfolio P&amp;L Activity]])-tblTheoretical_Value[[#This Row],[Carried Interest Allocation]]+tblTheoretical_Value[[#This Row],[Syndication Costs]]</f>
        <v>469393.51999999996</v>
      </c>
    </row>
    <row r="26" spans="1:20" x14ac:dyDescent="0.25">
      <c r="A26" s="88" t="s">
        <v>99</v>
      </c>
      <c r="B26" s="89"/>
      <c r="C26" s="88" t="s">
        <v>92</v>
      </c>
      <c r="D26" s="90" t="s">
        <v>4</v>
      </c>
      <c r="E26" s="101" t="s">
        <v>92</v>
      </c>
      <c r="G26" s="90">
        <v>8395</v>
      </c>
      <c r="H26" s="89">
        <v>100000</v>
      </c>
      <c r="I26" s="89">
        <v>63067.360000000001</v>
      </c>
      <c r="J26" s="89">
        <v>-66859</v>
      </c>
      <c r="K26" s="89">
        <v>5596.37</v>
      </c>
      <c r="L26" s="89">
        <v>5596.37</v>
      </c>
      <c r="M26" s="89">
        <v>2985.25</v>
      </c>
      <c r="N26" s="89">
        <v>5580.09</v>
      </c>
      <c r="O26" s="89">
        <v>822.67</v>
      </c>
      <c r="P26" s="89">
        <v>9388.01</v>
      </c>
      <c r="Q26" s="89">
        <v>0</v>
      </c>
      <c r="R26" s="89">
        <f>SUM(tblTheoretical_Value[[#This Row],[Investment Other Inc/(Exp)]],tblTheoretical_Value[[#This Row],[Gains/(Losses)]],tblTheoretical_Value[[#This Row],[Non-Portfolio P&amp;L Activity]])-tblTheoretical_Value[[#This Row],[Carried Interest Allocation]]</f>
        <v>9388.01</v>
      </c>
      <c r="S26" s="89">
        <v>0</v>
      </c>
      <c r="T26" s="89">
        <f>SUM(tblTheoretical_Value[[#This Row],[Investment Other Inc/(Exp)]],tblTheoretical_Value[[#This Row],[Gains/(Losses)]],tblTheoretical_Value[[#This Row],[Non-Portfolio P&amp;L Activity]])-tblTheoretical_Value[[#This Row],[Carried Interest Allocation]]+tblTheoretical_Value[[#This Row],[Syndication Costs]]</f>
        <v>9388.01</v>
      </c>
    </row>
    <row r="27" spans="1:20" x14ac:dyDescent="0.25">
      <c r="A27" s="88" t="s">
        <v>99</v>
      </c>
      <c r="B27" s="89"/>
      <c r="C27" s="88" t="s">
        <v>93</v>
      </c>
      <c r="D27" s="90" t="s">
        <v>4</v>
      </c>
      <c r="E27" s="101" t="s">
        <v>93</v>
      </c>
      <c r="G27" s="90">
        <v>8383</v>
      </c>
      <c r="H27" s="89">
        <v>500000</v>
      </c>
      <c r="I27" s="89">
        <v>315336.8</v>
      </c>
      <c r="J27" s="89">
        <v>-334294.71000000002</v>
      </c>
      <c r="K27" s="89">
        <v>27981.65</v>
      </c>
      <c r="L27" s="89">
        <v>27981.65</v>
      </c>
      <c r="M27" s="89">
        <v>14926.05</v>
      </c>
      <c r="N27" s="89">
        <v>27900.3</v>
      </c>
      <c r="O27" s="89">
        <v>4113.21</v>
      </c>
      <c r="P27" s="89">
        <v>46939.56</v>
      </c>
      <c r="Q27" s="89">
        <v>0</v>
      </c>
      <c r="R27" s="89">
        <f>SUM(tblTheoretical_Value[[#This Row],[Investment Other Inc/(Exp)]],tblTheoretical_Value[[#This Row],[Gains/(Losses)]],tblTheoretical_Value[[#This Row],[Non-Portfolio P&amp;L Activity]])-tblTheoretical_Value[[#This Row],[Carried Interest Allocation]]</f>
        <v>46939.56</v>
      </c>
      <c r="S27" s="89">
        <v>0</v>
      </c>
      <c r="T27" s="89">
        <f>SUM(tblTheoretical_Value[[#This Row],[Investment Other Inc/(Exp)]],tblTheoretical_Value[[#This Row],[Gains/(Losses)]],tblTheoretical_Value[[#This Row],[Non-Portfolio P&amp;L Activity]])-tblTheoretical_Value[[#This Row],[Carried Interest Allocation]]+tblTheoretical_Value[[#This Row],[Syndication Costs]]</f>
        <v>46939.56</v>
      </c>
    </row>
    <row r="28" spans="1:20" x14ac:dyDescent="0.25">
      <c r="A28" s="88" t="s">
        <v>99</v>
      </c>
      <c r="B28" s="89"/>
      <c r="C28" s="88" t="s">
        <v>94</v>
      </c>
      <c r="D28" s="90" t="s">
        <v>4</v>
      </c>
      <c r="E28" s="101" t="s">
        <v>94</v>
      </c>
      <c r="G28" s="90">
        <v>8392</v>
      </c>
      <c r="H28" s="89">
        <v>83090</v>
      </c>
      <c r="I28" s="89">
        <v>52402.7</v>
      </c>
      <c r="J28" s="89">
        <v>-55553.120000000003</v>
      </c>
      <c r="K28" s="89">
        <v>4649.92</v>
      </c>
      <c r="L28" s="89">
        <v>4649.92</v>
      </c>
      <c r="M28" s="89">
        <v>2480.4</v>
      </c>
      <c r="N28" s="89">
        <v>4636.45</v>
      </c>
      <c r="O28" s="89">
        <v>683.49</v>
      </c>
      <c r="P28" s="89">
        <v>7800.34</v>
      </c>
      <c r="Q28" s="89">
        <v>0</v>
      </c>
      <c r="R28" s="89">
        <f>SUM(tblTheoretical_Value[[#This Row],[Investment Other Inc/(Exp)]],tblTheoretical_Value[[#This Row],[Gains/(Losses)]],tblTheoretical_Value[[#This Row],[Non-Portfolio P&amp;L Activity]])-tblTheoretical_Value[[#This Row],[Carried Interest Allocation]]</f>
        <v>7800.34</v>
      </c>
      <c r="S28" s="89">
        <v>0</v>
      </c>
      <c r="T28" s="89">
        <f>SUM(tblTheoretical_Value[[#This Row],[Investment Other Inc/(Exp)]],tblTheoretical_Value[[#This Row],[Gains/(Losses)]],tblTheoretical_Value[[#This Row],[Non-Portfolio P&amp;L Activity]])-tblTheoretical_Value[[#This Row],[Carried Interest Allocation]]+tblTheoretical_Value[[#This Row],[Syndication Costs]]</f>
        <v>7800.34</v>
      </c>
    </row>
    <row r="29" spans="1:20" x14ac:dyDescent="0.25">
      <c r="A29" s="88" t="s">
        <v>99</v>
      </c>
      <c r="B29" s="89"/>
      <c r="C29" s="88" t="s">
        <v>95</v>
      </c>
      <c r="D29" s="90" t="s">
        <v>4</v>
      </c>
      <c r="E29" s="101" t="s">
        <v>95</v>
      </c>
      <c r="G29" s="90">
        <v>8378</v>
      </c>
      <c r="H29" s="89">
        <v>450000</v>
      </c>
      <c r="I29" s="89">
        <v>499260.37</v>
      </c>
      <c r="J29" s="89">
        <v>-390158.09</v>
      </c>
      <c r="K29" s="89">
        <v>174203.62</v>
      </c>
      <c r="L29" s="89">
        <v>174203.62</v>
      </c>
      <c r="M29" s="89">
        <v>19120.63</v>
      </c>
      <c r="N29" s="89">
        <v>40584.370000000003</v>
      </c>
      <c r="O29" s="89">
        <v>5396.34</v>
      </c>
      <c r="P29" s="89">
        <v>65101.34</v>
      </c>
      <c r="Q29" s="89">
        <v>0</v>
      </c>
      <c r="R29" s="89">
        <f>SUM(tblTheoretical_Value[[#This Row],[Investment Other Inc/(Exp)]],tblTheoretical_Value[[#This Row],[Gains/(Losses)]],tblTheoretical_Value[[#This Row],[Non-Portfolio P&amp;L Activity]])-tblTheoretical_Value[[#This Row],[Carried Interest Allocation]]</f>
        <v>65101.34</v>
      </c>
      <c r="S29" s="89">
        <v>0</v>
      </c>
      <c r="T29" s="89">
        <f>SUM(tblTheoretical_Value[[#This Row],[Investment Other Inc/(Exp)]],tblTheoretical_Value[[#This Row],[Gains/(Losses)]],tblTheoretical_Value[[#This Row],[Non-Portfolio P&amp;L Activity]])-tblTheoretical_Value[[#This Row],[Carried Interest Allocation]]+tblTheoretical_Value[[#This Row],[Syndication Costs]]</f>
        <v>65101.34</v>
      </c>
    </row>
    <row r="30" spans="1:20" x14ac:dyDescent="0.25">
      <c r="A30" s="88" t="s">
        <v>99</v>
      </c>
      <c r="B30" s="89"/>
      <c r="C30" s="88" t="s">
        <v>96</v>
      </c>
      <c r="D30" s="90" t="s">
        <v>4</v>
      </c>
      <c r="E30" s="101" t="s">
        <v>96</v>
      </c>
      <c r="G30" s="90">
        <v>8400</v>
      </c>
      <c r="H30" s="89">
        <v>35000000</v>
      </c>
      <c r="I30" s="89">
        <v>27736687.5</v>
      </c>
      <c r="J30" s="89">
        <v>-27972132.57</v>
      </c>
      <c r="K30" s="89">
        <v>3870887.34</v>
      </c>
      <c r="L30" s="89">
        <v>3870887.34</v>
      </c>
      <c r="M30" s="89">
        <v>1062258.82</v>
      </c>
      <c r="N30" s="89">
        <v>2744317.15</v>
      </c>
      <c r="O30" s="89">
        <v>299756.44</v>
      </c>
      <c r="P30" s="89">
        <v>4106332.41</v>
      </c>
      <c r="Q30" s="89">
        <v>0</v>
      </c>
      <c r="R30" s="89">
        <f>SUM(tblTheoretical_Value[[#This Row],[Investment Other Inc/(Exp)]],tblTheoretical_Value[[#This Row],[Gains/(Losses)]],tblTheoretical_Value[[#This Row],[Non-Portfolio P&amp;L Activity]])-tblTheoretical_Value[[#This Row],[Carried Interest Allocation]]</f>
        <v>4106332.4099999997</v>
      </c>
      <c r="S30" s="89">
        <v>0</v>
      </c>
      <c r="T30" s="89">
        <f>SUM(tblTheoretical_Value[[#This Row],[Investment Other Inc/(Exp)]],tblTheoretical_Value[[#This Row],[Gains/(Losses)]],tblTheoretical_Value[[#This Row],[Non-Portfolio P&amp;L Activity]])-tblTheoretical_Value[[#This Row],[Carried Interest Allocation]]+tblTheoretical_Value[[#This Row],[Syndication Costs]]</f>
        <v>4106332.4099999997</v>
      </c>
    </row>
    <row r="31" spans="1:20" x14ac:dyDescent="0.25">
      <c r="A31" s="88" t="s">
        <v>6</v>
      </c>
      <c r="H31" s="91">
        <f>SUBTOTAL(109,tblTheoretical_Value[Investor Commitments])</f>
        <v>125391938</v>
      </c>
      <c r="I31" s="91">
        <f>SUBTOTAL(109,tblTheoretical_Value[Investor: Total Invested])</f>
        <v>90104000</v>
      </c>
      <c r="J31" s="91">
        <f>SUBTOTAL(109,tblTheoretical_Value[Investor: Total Distributions])</f>
        <v>-91329000</v>
      </c>
      <c r="K31" s="91">
        <f>SUBTOTAL(109,tblTheoretical_Value[Investor: Remaining Value])</f>
        <v>11841922.350000001</v>
      </c>
      <c r="L31" s="91">
        <f>SUBTOTAL(109,tblTheoretical_Value[Book Capital])</f>
        <v>11841922.350000001</v>
      </c>
      <c r="M31" s="91">
        <f>SUBTOTAL(109,tblTheoretical_Value[Investment Other Inc/(Exp)])</f>
        <v>3845518.6399999997</v>
      </c>
      <c r="N31" s="91">
        <f>SUBTOTAL(109,tblTheoretical_Value[Gains/(Losses)])</f>
        <v>8150000</v>
      </c>
      <c r="O31" s="91">
        <f>SUBTOTAL(109,tblTheoretical_Value[Non-Portfolio P&amp;L Activity])</f>
        <v>1071403.7099999997</v>
      </c>
      <c r="P31" s="91">
        <f>SUBTOTAL(109,tblTheoretical_Value[Accumulated Earnings])</f>
        <v>13066922.350000001</v>
      </c>
      <c r="Q31" s="91">
        <f>SUBTOTAL(109,tblTheoretical_Value[Carried Interest Allocation])</f>
        <v>0</v>
      </c>
      <c r="R31" s="91">
        <f>SUBTOTAL(109,tblTheoretical_Value[Accumulated Earnings, gross of Carried Interest])</f>
        <v>13066922.350000001</v>
      </c>
      <c r="S31" s="91">
        <f>SUBTOTAL(109,tblTheoretical_Value[Syndication Costs])</f>
        <v>0</v>
      </c>
      <c r="T31" s="91">
        <f>SUBTOTAL(109,tblTheoretical_Value[Accumulated Earnings, gross of Carried Interest and net of Syndication Costs])</f>
        <v>13066922.350000001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K384"/>
  <sheetViews>
    <sheetView showGridLines="0" zoomScale="80" zoomScaleNormal="80" workbookViewId="0">
      <pane ySplit="5" topLeftCell="A6" activePane="bottomLeft" state="frozen"/>
      <selection pane="bottomLeft" activeCell="A6" sqref="A6"/>
    </sheetView>
  </sheetViews>
  <sheetFormatPr defaultRowHeight="15" x14ac:dyDescent="0.25"/>
  <cols>
    <col min="1" max="1" width="29.5703125" style="88" bestFit="1" customWidth="1"/>
    <col min="2" max="2" width="20" style="88" bestFit="1" customWidth="1"/>
    <col min="3" max="3" width="14.140625" style="88" customWidth="1"/>
    <col min="4" max="4" width="9" style="90" customWidth="1"/>
    <col min="5" max="5" width="18.7109375" style="88" customWidth="1"/>
    <col min="6" max="6" width="8.7109375" style="88" bestFit="1" customWidth="1"/>
    <col min="7" max="7" width="10.7109375" style="90" customWidth="1"/>
    <col min="8" max="8" width="12" style="88" bestFit="1" customWidth="1"/>
    <col min="9" max="9" width="16.42578125" style="88" bestFit="1" customWidth="1"/>
    <col min="10" max="10" width="9.140625" style="88"/>
    <col min="11" max="11" width="15.140625" style="88" bestFit="1" customWidth="1"/>
    <col min="12" max="16384" width="9.140625" style="88"/>
  </cols>
  <sheetData>
    <row r="3" spans="1:11" x14ac:dyDescent="0.25">
      <c r="H3" s="97" t="s">
        <v>49</v>
      </c>
      <c r="I3" s="91">
        <f>I4-SUM('Waterfall Model'!E$8:E1048576)</f>
        <v>0</v>
      </c>
      <c r="K3" s="91">
        <f>K4-SUM('Waterfall Model'!J$8:J1048576)</f>
        <v>0</v>
      </c>
    </row>
    <row r="4" spans="1:11" x14ac:dyDescent="0.25">
      <c r="H4" s="97" t="s">
        <v>6</v>
      </c>
      <c r="I4" s="96">
        <f>SUM(tblPref[Partners'' Capital Contributions])</f>
        <v>88609294.549999923</v>
      </c>
      <c r="K4" s="96">
        <f>SUM(tblPref[Preferred Return])</f>
        <v>8003364.7900000038</v>
      </c>
    </row>
    <row r="5" spans="1:11" s="92" customFormat="1" ht="45" x14ac:dyDescent="0.25">
      <c r="A5" s="92" t="s">
        <v>32</v>
      </c>
      <c r="B5" s="92" t="s">
        <v>10</v>
      </c>
      <c r="C5" s="92" t="s">
        <v>0</v>
      </c>
      <c r="D5" s="95" t="s">
        <v>2</v>
      </c>
      <c r="E5" s="92" t="s">
        <v>33</v>
      </c>
      <c r="F5" s="92" t="s">
        <v>34</v>
      </c>
      <c r="G5" s="95" t="s">
        <v>1</v>
      </c>
      <c r="H5" s="92" t="s">
        <v>60</v>
      </c>
      <c r="I5" s="92" t="s">
        <v>59</v>
      </c>
      <c r="J5" s="95" t="s">
        <v>61</v>
      </c>
      <c r="K5" s="95" t="s">
        <v>25</v>
      </c>
    </row>
    <row r="6" spans="1:11" x14ac:dyDescent="0.25">
      <c r="A6" s="88" t="s">
        <v>99</v>
      </c>
      <c r="C6" s="88" t="s">
        <v>69</v>
      </c>
      <c r="D6" s="90" t="s">
        <v>4</v>
      </c>
      <c r="E6" s="98" t="s">
        <v>69</v>
      </c>
      <c r="G6" s="90">
        <v>8371</v>
      </c>
      <c r="H6" s="93">
        <v>40544</v>
      </c>
      <c r="I6" s="89">
        <v>2446.8200000000002</v>
      </c>
      <c r="J6" s="94">
        <f t="shared" ref="J6:J69" si="0">((Period_End_Date-$H6+1)/365)</f>
        <v>3.0027397260273974</v>
      </c>
      <c r="K6" s="89">
        <f>ROUND($I6*(1+Preferred_Return_Rate)^tblPref[[#This Row],[Pref Period in Years]]-I6,2)</f>
        <v>305.82</v>
      </c>
    </row>
    <row r="7" spans="1:11" x14ac:dyDescent="0.25">
      <c r="A7" s="88" t="s">
        <v>99</v>
      </c>
      <c r="C7" s="88" t="s">
        <v>69</v>
      </c>
      <c r="D7" s="90" t="s">
        <v>4</v>
      </c>
      <c r="E7" s="98" t="s">
        <v>69</v>
      </c>
      <c r="G7" s="90">
        <v>8371</v>
      </c>
      <c r="H7" s="93">
        <v>40563</v>
      </c>
      <c r="I7" s="89">
        <v>27108.43</v>
      </c>
      <c r="J7" s="94">
        <f t="shared" si="0"/>
        <v>2.9506849315068493</v>
      </c>
      <c r="K7" s="89">
        <f>ROUND($I7*(1+Preferred_Return_Rate)^tblPref[[#This Row],[Pref Period in Years]]-I7,2)</f>
        <v>3325.94</v>
      </c>
    </row>
    <row r="8" spans="1:11" x14ac:dyDescent="0.25">
      <c r="A8" s="88" t="s">
        <v>99</v>
      </c>
      <c r="C8" s="88" t="s">
        <v>69</v>
      </c>
      <c r="D8" s="90" t="s">
        <v>4</v>
      </c>
      <c r="E8" s="98" t="s">
        <v>69</v>
      </c>
      <c r="G8" s="90">
        <v>8371</v>
      </c>
      <c r="H8" s="93">
        <v>40661</v>
      </c>
      <c r="I8" s="89">
        <v>18072.29</v>
      </c>
      <c r="J8" s="94">
        <f t="shared" si="0"/>
        <v>2.6821917808219178</v>
      </c>
      <c r="K8" s="89">
        <f>ROUND($I8*(1+Preferred_Return_Rate)^tblPref[[#This Row],[Pref Period in Years]]-I8,2)</f>
        <v>2004.76</v>
      </c>
    </row>
    <row r="9" spans="1:11" x14ac:dyDescent="0.25">
      <c r="A9" s="88" t="s">
        <v>99</v>
      </c>
      <c r="C9" s="88" t="s">
        <v>69</v>
      </c>
      <c r="D9" s="90" t="s">
        <v>4</v>
      </c>
      <c r="E9" s="98" t="s">
        <v>69</v>
      </c>
      <c r="G9" s="90">
        <v>8371</v>
      </c>
      <c r="H9" s="93">
        <v>40745</v>
      </c>
      <c r="I9" s="89">
        <v>86144.58</v>
      </c>
      <c r="J9" s="94">
        <f t="shared" si="0"/>
        <v>2.452054794520548</v>
      </c>
      <c r="K9" s="89">
        <f>ROUND($I9*(1+Preferred_Return_Rate)^tblPref[[#This Row],[Pref Period in Years]]-I9,2)</f>
        <v>8696.1</v>
      </c>
    </row>
    <row r="10" spans="1:11" x14ac:dyDescent="0.25">
      <c r="A10" s="88" t="s">
        <v>99</v>
      </c>
      <c r="C10" s="88" t="s">
        <v>69</v>
      </c>
      <c r="D10" s="90" t="s">
        <v>4</v>
      </c>
      <c r="E10" s="98" t="s">
        <v>69</v>
      </c>
      <c r="G10" s="90">
        <v>8371</v>
      </c>
      <c r="H10" s="93">
        <v>40792</v>
      </c>
      <c r="I10" s="89">
        <v>15060.24</v>
      </c>
      <c r="J10" s="94">
        <f t="shared" si="0"/>
        <v>2.3232876712328765</v>
      </c>
      <c r="K10" s="89">
        <f>ROUND($I10*(1+Preferred_Return_Rate)^tblPref[[#This Row],[Pref Period in Years]]-I10,2)</f>
        <v>1436.77</v>
      </c>
    </row>
    <row r="11" spans="1:11" x14ac:dyDescent="0.25">
      <c r="A11" s="88" t="s">
        <v>99</v>
      </c>
      <c r="C11" s="88" t="s">
        <v>69</v>
      </c>
      <c r="D11" s="90" t="s">
        <v>4</v>
      </c>
      <c r="E11" s="98" t="s">
        <v>69</v>
      </c>
      <c r="G11" s="90">
        <v>8371</v>
      </c>
      <c r="H11" s="93">
        <v>40857</v>
      </c>
      <c r="I11" s="89">
        <v>9036.14</v>
      </c>
      <c r="J11" s="94">
        <f t="shared" si="0"/>
        <v>2.1452054794520548</v>
      </c>
      <c r="K11" s="89">
        <f>ROUND($I11*(1+Preferred_Return_Rate)^tblPref[[#This Row],[Pref Period in Years]]-I11,2)</f>
        <v>793.17</v>
      </c>
    </row>
    <row r="12" spans="1:11" x14ac:dyDescent="0.25">
      <c r="A12" s="88" t="s">
        <v>99</v>
      </c>
      <c r="C12" s="88" t="s">
        <v>69</v>
      </c>
      <c r="D12" s="90" t="s">
        <v>4</v>
      </c>
      <c r="E12" s="98" t="s">
        <v>69</v>
      </c>
      <c r="G12" s="90">
        <v>8371</v>
      </c>
      <c r="H12" s="93">
        <v>40909</v>
      </c>
      <c r="I12" s="89">
        <v>2138.1799999999998</v>
      </c>
      <c r="J12" s="94">
        <f t="shared" si="0"/>
        <v>2.0027397260273974</v>
      </c>
      <c r="K12" s="89">
        <f>ROUND($I12*(1+Preferred_Return_Rate)^tblPref[[#This Row],[Pref Period in Years]]-I12,2)</f>
        <v>174.72</v>
      </c>
    </row>
    <row r="13" spans="1:11" x14ac:dyDescent="0.25">
      <c r="A13" s="88" t="s">
        <v>99</v>
      </c>
      <c r="C13" s="88" t="s">
        <v>69</v>
      </c>
      <c r="D13" s="90" t="s">
        <v>4</v>
      </c>
      <c r="E13" s="98" t="s">
        <v>69</v>
      </c>
      <c r="G13" s="90">
        <v>8371</v>
      </c>
      <c r="H13" s="93">
        <v>40940</v>
      </c>
      <c r="I13" s="89">
        <v>22289.15</v>
      </c>
      <c r="J13" s="94">
        <f t="shared" si="0"/>
        <v>1.9178082191780821</v>
      </c>
      <c r="K13" s="89">
        <f>ROUND($I13*(1+Preferred_Return_Rate)^tblPref[[#This Row],[Pref Period in Years]]-I13,2)</f>
        <v>1741.2</v>
      </c>
    </row>
    <row r="14" spans="1:11" x14ac:dyDescent="0.25">
      <c r="A14" s="88" t="s">
        <v>99</v>
      </c>
      <c r="C14" s="88" t="s">
        <v>69</v>
      </c>
      <c r="D14" s="90" t="s">
        <v>4</v>
      </c>
      <c r="E14" s="98" t="s">
        <v>69</v>
      </c>
      <c r="G14" s="90">
        <v>8371</v>
      </c>
      <c r="H14" s="93">
        <v>41047</v>
      </c>
      <c r="I14" s="89">
        <v>36144.58</v>
      </c>
      <c r="J14" s="94">
        <f t="shared" si="0"/>
        <v>1.6246575342465754</v>
      </c>
      <c r="K14" s="89">
        <f>ROUND($I14*(1+Preferred_Return_Rate)^tblPref[[#This Row],[Pref Period in Years]]-I14,2)</f>
        <v>2378.1</v>
      </c>
    </row>
    <row r="15" spans="1:11" x14ac:dyDescent="0.25">
      <c r="A15" s="88" t="s">
        <v>99</v>
      </c>
      <c r="C15" s="88" t="s">
        <v>69</v>
      </c>
      <c r="D15" s="90" t="s">
        <v>4</v>
      </c>
      <c r="E15" s="98" t="s">
        <v>69</v>
      </c>
      <c r="G15" s="90">
        <v>8371</v>
      </c>
      <c r="H15" s="93">
        <v>41141</v>
      </c>
      <c r="I15" s="89">
        <v>6024.1</v>
      </c>
      <c r="J15" s="94">
        <f t="shared" si="0"/>
        <v>1.3671232876712329</v>
      </c>
      <c r="K15" s="89">
        <f>ROUND($I15*(1+Preferred_Return_Rate)^tblPref[[#This Row],[Pref Period in Years]]-I15,2)</f>
        <v>331.83</v>
      </c>
    </row>
    <row r="16" spans="1:11" x14ac:dyDescent="0.25">
      <c r="A16" s="88" t="s">
        <v>99</v>
      </c>
      <c r="C16" s="88" t="s">
        <v>69</v>
      </c>
      <c r="D16" s="90" t="s">
        <v>4</v>
      </c>
      <c r="E16" s="98" t="s">
        <v>69</v>
      </c>
      <c r="G16" s="90">
        <v>8371</v>
      </c>
      <c r="H16" s="93">
        <v>41246</v>
      </c>
      <c r="I16" s="89">
        <v>29518.07</v>
      </c>
      <c r="J16" s="94">
        <f t="shared" si="0"/>
        <v>1.0794520547945206</v>
      </c>
      <c r="K16" s="89">
        <f>ROUND($I16*(1+Preferred_Return_Rate)^tblPref[[#This Row],[Pref Period in Years]]-I16,2)</f>
        <v>1276.53</v>
      </c>
    </row>
    <row r="17" spans="1:11" x14ac:dyDescent="0.25">
      <c r="A17" s="88" t="s">
        <v>99</v>
      </c>
      <c r="C17" s="88" t="s">
        <v>69</v>
      </c>
      <c r="D17" s="90" t="s">
        <v>4</v>
      </c>
      <c r="E17" s="98" t="s">
        <v>69</v>
      </c>
      <c r="G17" s="90">
        <v>8371</v>
      </c>
      <c r="H17" s="93">
        <v>41275</v>
      </c>
      <c r="I17" s="89">
        <v>2601.14</v>
      </c>
      <c r="J17" s="94">
        <f t="shared" si="0"/>
        <v>1</v>
      </c>
      <c r="K17" s="89">
        <f>ROUND($I17*(1+Preferred_Return_Rate)^tblPref[[#This Row],[Pref Period in Years]]-I17,2)</f>
        <v>104.05</v>
      </c>
    </row>
    <row r="18" spans="1:11" x14ac:dyDescent="0.25">
      <c r="A18" s="88" t="s">
        <v>99</v>
      </c>
      <c r="C18" s="88" t="s">
        <v>69</v>
      </c>
      <c r="D18" s="90" t="s">
        <v>4</v>
      </c>
      <c r="E18" s="98" t="s">
        <v>69</v>
      </c>
      <c r="G18" s="90">
        <v>8371</v>
      </c>
      <c r="H18" s="93">
        <v>41316</v>
      </c>
      <c r="I18" s="89">
        <v>20783.14</v>
      </c>
      <c r="J18" s="94">
        <f t="shared" si="0"/>
        <v>0.88767123287671235</v>
      </c>
      <c r="K18" s="89">
        <f>ROUND($I18*(1+Preferred_Return_Rate)^tblPref[[#This Row],[Pref Period in Years]]-I18,2)</f>
        <v>736.31</v>
      </c>
    </row>
    <row r="19" spans="1:11" x14ac:dyDescent="0.25">
      <c r="A19" s="88" t="s">
        <v>99</v>
      </c>
      <c r="C19" s="88" t="s">
        <v>70</v>
      </c>
      <c r="D19" s="90" t="s">
        <v>4</v>
      </c>
      <c r="E19" s="98" t="s">
        <v>70</v>
      </c>
      <c r="G19" s="90">
        <v>8384</v>
      </c>
      <c r="H19" s="93">
        <v>40544</v>
      </c>
      <c r="I19" s="89">
        <v>965.78</v>
      </c>
      <c r="J19" s="94">
        <f t="shared" si="0"/>
        <v>3.0027397260273974</v>
      </c>
      <c r="K19" s="89">
        <f>ROUND($I19*(1+Preferred_Return_Rate)^tblPref[[#This Row],[Pref Period in Years]]-I19,2)</f>
        <v>120.71</v>
      </c>
    </row>
    <row r="20" spans="1:11" x14ac:dyDescent="0.25">
      <c r="A20" s="88" t="s">
        <v>99</v>
      </c>
      <c r="C20" s="88" t="s">
        <v>70</v>
      </c>
      <c r="D20" s="90" t="s">
        <v>4</v>
      </c>
      <c r="E20" s="98" t="s">
        <v>70</v>
      </c>
      <c r="G20" s="90">
        <v>8384</v>
      </c>
      <c r="H20" s="93">
        <v>40564</v>
      </c>
      <c r="I20" s="89">
        <v>11679.46</v>
      </c>
      <c r="J20" s="94">
        <f t="shared" si="0"/>
        <v>2.9479452054794519</v>
      </c>
      <c r="K20" s="89">
        <f>ROUND($I20*(1+Preferred_Return_Rate)^tblPref[[#This Row],[Pref Period in Years]]-I20,2)</f>
        <v>1431.55</v>
      </c>
    </row>
    <row r="21" spans="1:11" x14ac:dyDescent="0.25">
      <c r="A21" s="88" t="s">
        <v>99</v>
      </c>
      <c r="C21" s="88" t="s">
        <v>70</v>
      </c>
      <c r="D21" s="90" t="s">
        <v>4</v>
      </c>
      <c r="E21" s="98" t="s">
        <v>70</v>
      </c>
      <c r="G21" s="90">
        <v>8384</v>
      </c>
      <c r="H21" s="93">
        <v>40585</v>
      </c>
      <c r="I21" s="89">
        <v>5258.12</v>
      </c>
      <c r="J21" s="94">
        <f t="shared" si="0"/>
        <v>2.8904109589041096</v>
      </c>
      <c r="K21" s="89">
        <f>ROUND($I21*(1+Preferred_Return_Rate)^tblPref[[#This Row],[Pref Period in Years]]-I21,2)</f>
        <v>631.17999999999995</v>
      </c>
    </row>
    <row r="22" spans="1:11" x14ac:dyDescent="0.25">
      <c r="A22" s="88" t="s">
        <v>99</v>
      </c>
      <c r="C22" s="88" t="s">
        <v>70</v>
      </c>
      <c r="D22" s="90" t="s">
        <v>4</v>
      </c>
      <c r="E22" s="98" t="s">
        <v>70</v>
      </c>
      <c r="G22" s="90">
        <v>8384</v>
      </c>
      <c r="H22" s="93">
        <v>40589</v>
      </c>
      <c r="I22" s="89">
        <v>12877.02</v>
      </c>
      <c r="J22" s="94">
        <f t="shared" si="0"/>
        <v>2.8794520547945206</v>
      </c>
      <c r="K22" s="89">
        <f>ROUND($I22*(1+Preferred_Return_Rate)^tblPref[[#This Row],[Pref Period in Years]]-I22,2)</f>
        <v>1539.55</v>
      </c>
    </row>
    <row r="23" spans="1:11" x14ac:dyDescent="0.25">
      <c r="A23" s="88" t="s">
        <v>99</v>
      </c>
      <c r="C23" s="88" t="s">
        <v>70</v>
      </c>
      <c r="D23" s="90" t="s">
        <v>4</v>
      </c>
      <c r="E23" s="98" t="s">
        <v>70</v>
      </c>
      <c r="G23" s="90">
        <v>8384</v>
      </c>
      <c r="H23" s="93">
        <v>40662</v>
      </c>
      <c r="I23" s="89">
        <v>11368.26</v>
      </c>
      <c r="J23" s="94">
        <f t="shared" si="0"/>
        <v>2.6794520547945204</v>
      </c>
      <c r="K23" s="89">
        <f>ROUND($I23*(1+Preferred_Return_Rate)^tblPref[[#This Row],[Pref Period in Years]]-I23,2)</f>
        <v>1259.72</v>
      </c>
    </row>
    <row r="24" spans="1:11" x14ac:dyDescent="0.25">
      <c r="A24" s="88" t="s">
        <v>99</v>
      </c>
      <c r="C24" s="88" t="s">
        <v>70</v>
      </c>
      <c r="D24" s="90" t="s">
        <v>4</v>
      </c>
      <c r="E24" s="98" t="s">
        <v>70</v>
      </c>
      <c r="G24" s="90">
        <v>8384</v>
      </c>
      <c r="H24" s="93">
        <v>40745</v>
      </c>
      <c r="I24" s="89">
        <v>21461.7</v>
      </c>
      <c r="J24" s="94">
        <f t="shared" si="0"/>
        <v>2.452054794520548</v>
      </c>
      <c r="K24" s="89">
        <f>ROUND($I24*(1+Preferred_Return_Rate)^tblPref[[#This Row],[Pref Period in Years]]-I24,2)</f>
        <v>2166.5100000000002</v>
      </c>
    </row>
    <row r="25" spans="1:11" x14ac:dyDescent="0.25">
      <c r="A25" s="88" t="s">
        <v>99</v>
      </c>
      <c r="C25" s="88" t="s">
        <v>70</v>
      </c>
      <c r="D25" s="90" t="s">
        <v>4</v>
      </c>
      <c r="E25" s="98" t="s">
        <v>70</v>
      </c>
      <c r="G25" s="90">
        <v>8384</v>
      </c>
      <c r="H25" s="93">
        <v>40792</v>
      </c>
      <c r="I25" s="89">
        <v>5365.43</v>
      </c>
      <c r="J25" s="94">
        <f t="shared" si="0"/>
        <v>2.3232876712328765</v>
      </c>
      <c r="K25" s="89">
        <f>ROUND($I25*(1+Preferred_Return_Rate)^tblPref[[#This Row],[Pref Period in Years]]-I25,2)</f>
        <v>511.87</v>
      </c>
    </row>
    <row r="26" spans="1:11" x14ac:dyDescent="0.25">
      <c r="A26" s="88" t="s">
        <v>99</v>
      </c>
      <c r="C26" s="88" t="s">
        <v>70</v>
      </c>
      <c r="D26" s="90" t="s">
        <v>4</v>
      </c>
      <c r="E26" s="98" t="s">
        <v>70</v>
      </c>
      <c r="G26" s="90">
        <v>8384</v>
      </c>
      <c r="H26" s="93">
        <v>40857</v>
      </c>
      <c r="I26" s="89">
        <v>1716.94</v>
      </c>
      <c r="J26" s="94">
        <f t="shared" si="0"/>
        <v>2.1452054794520548</v>
      </c>
      <c r="K26" s="89">
        <f>ROUND($I26*(1+Preferred_Return_Rate)^tblPref[[#This Row],[Pref Period in Years]]-I26,2)</f>
        <v>150.71</v>
      </c>
    </row>
    <row r="27" spans="1:11" x14ac:dyDescent="0.25">
      <c r="A27" s="88" t="s">
        <v>99</v>
      </c>
      <c r="C27" s="88" t="s">
        <v>70</v>
      </c>
      <c r="D27" s="90" t="s">
        <v>4</v>
      </c>
      <c r="E27" s="98" t="s">
        <v>70</v>
      </c>
      <c r="G27" s="90">
        <v>8384</v>
      </c>
      <c r="H27" s="93">
        <v>40909</v>
      </c>
      <c r="I27" s="89">
        <v>643.85</v>
      </c>
      <c r="J27" s="94">
        <f t="shared" si="0"/>
        <v>2.0027397260273974</v>
      </c>
      <c r="K27" s="89">
        <f>ROUND($I27*(1+Preferred_Return_Rate)^tblPref[[#This Row],[Pref Period in Years]]-I27,2)</f>
        <v>52.61</v>
      </c>
    </row>
    <row r="28" spans="1:11" x14ac:dyDescent="0.25">
      <c r="A28" s="88" t="s">
        <v>99</v>
      </c>
      <c r="C28" s="88" t="s">
        <v>70</v>
      </c>
      <c r="D28" s="90" t="s">
        <v>4</v>
      </c>
      <c r="E28" s="98" t="s">
        <v>70</v>
      </c>
      <c r="G28" s="90">
        <v>8384</v>
      </c>
      <c r="H28" s="93">
        <v>40940</v>
      </c>
      <c r="I28" s="89">
        <v>7940.83</v>
      </c>
      <c r="J28" s="94">
        <f t="shared" si="0"/>
        <v>1.9178082191780821</v>
      </c>
      <c r="K28" s="89">
        <f>ROUND($I28*(1+Preferred_Return_Rate)^tblPref[[#This Row],[Pref Period in Years]]-I28,2)</f>
        <v>620.33000000000004</v>
      </c>
    </row>
    <row r="29" spans="1:11" x14ac:dyDescent="0.25">
      <c r="A29" s="88" t="s">
        <v>99</v>
      </c>
      <c r="C29" s="88" t="s">
        <v>70</v>
      </c>
      <c r="D29" s="90" t="s">
        <v>4</v>
      </c>
      <c r="E29" s="98" t="s">
        <v>70</v>
      </c>
      <c r="G29" s="90">
        <v>8384</v>
      </c>
      <c r="H29" s="93">
        <v>41080</v>
      </c>
      <c r="I29" s="89">
        <v>1609.63</v>
      </c>
      <c r="J29" s="94">
        <f t="shared" si="0"/>
        <v>1.5342465753424657</v>
      </c>
      <c r="K29" s="89">
        <f>ROUND($I29*(1+Preferred_Return_Rate)^tblPref[[#This Row],[Pref Period in Years]]-I29,2)</f>
        <v>99.83</v>
      </c>
    </row>
    <row r="30" spans="1:11" x14ac:dyDescent="0.25">
      <c r="A30" s="88" t="s">
        <v>99</v>
      </c>
      <c r="C30" s="88" t="s">
        <v>70</v>
      </c>
      <c r="D30" s="90" t="s">
        <v>4</v>
      </c>
      <c r="E30" s="98" t="s">
        <v>70</v>
      </c>
      <c r="G30" s="90">
        <v>8384</v>
      </c>
      <c r="H30" s="93">
        <v>41246</v>
      </c>
      <c r="I30" s="89">
        <v>10516.23</v>
      </c>
      <c r="J30" s="94">
        <f t="shared" si="0"/>
        <v>1.0794520547945206</v>
      </c>
      <c r="K30" s="89">
        <f>ROUND($I30*(1+Preferred_Return_Rate)^tblPref[[#This Row],[Pref Period in Years]]-I30,2)</f>
        <v>454.78</v>
      </c>
    </row>
    <row r="31" spans="1:11" x14ac:dyDescent="0.25">
      <c r="A31" s="88" t="s">
        <v>99</v>
      </c>
      <c r="C31" s="88" t="s">
        <v>70</v>
      </c>
      <c r="D31" s="90" t="s">
        <v>4</v>
      </c>
      <c r="E31" s="98" t="s">
        <v>70</v>
      </c>
      <c r="G31" s="90">
        <v>8384</v>
      </c>
      <c r="H31" s="93">
        <v>41275</v>
      </c>
      <c r="I31" s="89">
        <v>1073.0899999999999</v>
      </c>
      <c r="J31" s="94">
        <f t="shared" si="0"/>
        <v>1</v>
      </c>
      <c r="K31" s="89">
        <f>ROUND($I31*(1+Preferred_Return_Rate)^tblPref[[#This Row],[Pref Period in Years]]-I31,2)</f>
        <v>42.92</v>
      </c>
    </row>
    <row r="32" spans="1:11" x14ac:dyDescent="0.25">
      <c r="A32" s="88" t="s">
        <v>99</v>
      </c>
      <c r="C32" s="88" t="s">
        <v>70</v>
      </c>
      <c r="D32" s="90" t="s">
        <v>4</v>
      </c>
      <c r="E32" s="98" t="s">
        <v>70</v>
      </c>
      <c r="G32" s="90">
        <v>8384</v>
      </c>
      <c r="H32" s="93">
        <v>41316</v>
      </c>
      <c r="I32" s="89">
        <v>2124.71</v>
      </c>
      <c r="J32" s="94">
        <f t="shared" si="0"/>
        <v>0.88767123287671235</v>
      </c>
      <c r="K32" s="89">
        <f>ROUND($I32*(1+Preferred_Return_Rate)^tblPref[[#This Row],[Pref Period in Years]]-I32,2)</f>
        <v>75.27</v>
      </c>
    </row>
    <row r="33" spans="1:11" x14ac:dyDescent="0.25">
      <c r="A33" s="88" t="s">
        <v>99</v>
      </c>
      <c r="C33" s="88" t="s">
        <v>71</v>
      </c>
      <c r="D33" s="90" t="s">
        <v>4</v>
      </c>
      <c r="E33" s="98" t="s">
        <v>71</v>
      </c>
      <c r="G33" s="90">
        <v>8387</v>
      </c>
      <c r="H33" s="93">
        <v>40544</v>
      </c>
      <c r="I33" s="89">
        <v>68252.02</v>
      </c>
      <c r="J33" s="94">
        <f t="shared" si="0"/>
        <v>3.0027397260273974</v>
      </c>
      <c r="K33" s="89">
        <f>ROUND($I33*(1+Preferred_Return_Rate)^tblPref[[#This Row],[Pref Period in Years]]-I33,2)</f>
        <v>8530.4699999999993</v>
      </c>
    </row>
    <row r="34" spans="1:11" x14ac:dyDescent="0.25">
      <c r="A34" s="88" t="s">
        <v>99</v>
      </c>
      <c r="C34" s="88" t="s">
        <v>71</v>
      </c>
      <c r="D34" s="90" t="s">
        <v>4</v>
      </c>
      <c r="E34" s="98" t="s">
        <v>71</v>
      </c>
      <c r="G34" s="90">
        <v>8387</v>
      </c>
      <c r="H34" s="93">
        <v>40563</v>
      </c>
      <c r="I34" s="89">
        <v>542168.67000000004</v>
      </c>
      <c r="J34" s="94">
        <f t="shared" si="0"/>
        <v>2.9506849315068493</v>
      </c>
      <c r="K34" s="89">
        <f>ROUND($I34*(1+Preferred_Return_Rate)^tblPref[[#This Row],[Pref Period in Years]]-I34,2)</f>
        <v>66518.899999999994</v>
      </c>
    </row>
    <row r="35" spans="1:11" x14ac:dyDescent="0.25">
      <c r="A35" s="88" t="s">
        <v>99</v>
      </c>
      <c r="C35" s="88" t="s">
        <v>71</v>
      </c>
      <c r="D35" s="90" t="s">
        <v>4</v>
      </c>
      <c r="E35" s="98" t="s">
        <v>71</v>
      </c>
      <c r="G35" s="90">
        <v>8387</v>
      </c>
      <c r="H35" s="93">
        <v>40564</v>
      </c>
      <c r="I35" s="89">
        <v>233589.17</v>
      </c>
      <c r="J35" s="94">
        <f t="shared" si="0"/>
        <v>2.9479452054794519</v>
      </c>
      <c r="K35" s="89">
        <f>ROUND($I35*(1+Preferred_Return_Rate)^tblPref[[#This Row],[Pref Period in Years]]-I35,2)</f>
        <v>28630.98</v>
      </c>
    </row>
    <row r="36" spans="1:11" x14ac:dyDescent="0.25">
      <c r="A36" s="88" t="s">
        <v>99</v>
      </c>
      <c r="C36" s="88" t="s">
        <v>71</v>
      </c>
      <c r="D36" s="90" t="s">
        <v>4</v>
      </c>
      <c r="E36" s="98" t="s">
        <v>71</v>
      </c>
      <c r="G36" s="90">
        <v>8387</v>
      </c>
      <c r="H36" s="93">
        <v>40585</v>
      </c>
      <c r="I36" s="89">
        <v>105162.34</v>
      </c>
      <c r="J36" s="94">
        <f t="shared" si="0"/>
        <v>2.8904109589041096</v>
      </c>
      <c r="K36" s="89">
        <f>ROUND($I36*(1+Preferred_Return_Rate)^tblPref[[#This Row],[Pref Period in Years]]-I36,2)</f>
        <v>12623.64</v>
      </c>
    </row>
    <row r="37" spans="1:11" x14ac:dyDescent="0.25">
      <c r="A37" s="88" t="s">
        <v>99</v>
      </c>
      <c r="C37" s="88" t="s">
        <v>71</v>
      </c>
      <c r="D37" s="90" t="s">
        <v>4</v>
      </c>
      <c r="E37" s="98" t="s">
        <v>71</v>
      </c>
      <c r="G37" s="90">
        <v>8387</v>
      </c>
      <c r="H37" s="93">
        <v>40589</v>
      </c>
      <c r="I37" s="89">
        <v>257540.43</v>
      </c>
      <c r="J37" s="94">
        <f t="shared" si="0"/>
        <v>2.8794520547945206</v>
      </c>
      <c r="K37" s="89">
        <f>ROUND($I37*(1+Preferred_Return_Rate)^tblPref[[#This Row],[Pref Period in Years]]-I37,2)</f>
        <v>30791.08</v>
      </c>
    </row>
    <row r="38" spans="1:11" x14ac:dyDescent="0.25">
      <c r="A38" s="88" t="s">
        <v>99</v>
      </c>
      <c r="C38" s="88" t="s">
        <v>71</v>
      </c>
      <c r="D38" s="90" t="s">
        <v>4</v>
      </c>
      <c r="E38" s="98" t="s">
        <v>71</v>
      </c>
      <c r="G38" s="90">
        <v>8387</v>
      </c>
      <c r="H38" s="93">
        <v>40661</v>
      </c>
      <c r="I38" s="89">
        <v>361445.78</v>
      </c>
      <c r="J38" s="94">
        <f t="shared" si="0"/>
        <v>2.6821917808219178</v>
      </c>
      <c r="K38" s="89">
        <f>ROUND($I38*(1+Preferred_Return_Rate)^tblPref[[#This Row],[Pref Period in Years]]-I38,2)</f>
        <v>40095.17</v>
      </c>
    </row>
    <row r="39" spans="1:11" x14ac:dyDescent="0.25">
      <c r="A39" s="88" t="s">
        <v>99</v>
      </c>
      <c r="C39" s="88" t="s">
        <v>71</v>
      </c>
      <c r="D39" s="90" t="s">
        <v>4</v>
      </c>
      <c r="E39" s="98" t="s">
        <v>71</v>
      </c>
      <c r="G39" s="90">
        <v>8387</v>
      </c>
      <c r="H39" s="93">
        <v>40662</v>
      </c>
      <c r="I39" s="89">
        <v>227365.28</v>
      </c>
      <c r="J39" s="94">
        <f t="shared" si="0"/>
        <v>2.6794520547945204</v>
      </c>
      <c r="K39" s="89">
        <f>ROUND($I39*(1+Preferred_Return_Rate)^tblPref[[#This Row],[Pref Period in Years]]-I39,2)</f>
        <v>25194.48</v>
      </c>
    </row>
    <row r="40" spans="1:11" x14ac:dyDescent="0.25">
      <c r="A40" s="88" t="s">
        <v>99</v>
      </c>
      <c r="C40" s="88" t="s">
        <v>71</v>
      </c>
      <c r="D40" s="90" t="s">
        <v>4</v>
      </c>
      <c r="E40" s="98" t="s">
        <v>71</v>
      </c>
      <c r="G40" s="90">
        <v>8387</v>
      </c>
      <c r="H40" s="93">
        <v>40745</v>
      </c>
      <c r="I40" s="89">
        <v>2152125.63</v>
      </c>
      <c r="J40" s="94">
        <f t="shared" si="0"/>
        <v>2.452054794520548</v>
      </c>
      <c r="K40" s="89">
        <f>ROUND($I40*(1+Preferred_Return_Rate)^tblPref[[#This Row],[Pref Period in Years]]-I40,2)</f>
        <v>217252.09</v>
      </c>
    </row>
    <row r="41" spans="1:11" x14ac:dyDescent="0.25">
      <c r="A41" s="88" t="s">
        <v>99</v>
      </c>
      <c r="C41" s="88" t="s">
        <v>71</v>
      </c>
      <c r="D41" s="90" t="s">
        <v>4</v>
      </c>
      <c r="E41" s="98" t="s">
        <v>71</v>
      </c>
      <c r="G41" s="90">
        <v>8387</v>
      </c>
      <c r="H41" s="93">
        <v>40792</v>
      </c>
      <c r="I41" s="89">
        <v>408513.33</v>
      </c>
      <c r="J41" s="94">
        <f t="shared" si="0"/>
        <v>2.3232876712328765</v>
      </c>
      <c r="K41" s="89">
        <f>ROUND($I41*(1+Preferred_Return_Rate)^tblPref[[#This Row],[Pref Period in Years]]-I41,2)</f>
        <v>38972.800000000003</v>
      </c>
    </row>
    <row r="42" spans="1:11" x14ac:dyDescent="0.25">
      <c r="A42" s="88" t="s">
        <v>99</v>
      </c>
      <c r="C42" s="88" t="s">
        <v>71</v>
      </c>
      <c r="D42" s="90" t="s">
        <v>4</v>
      </c>
      <c r="E42" s="98" t="s">
        <v>71</v>
      </c>
      <c r="G42" s="90">
        <v>8387</v>
      </c>
      <c r="H42" s="93">
        <v>40857</v>
      </c>
      <c r="I42" s="89">
        <v>215061.61</v>
      </c>
      <c r="J42" s="94">
        <f t="shared" si="0"/>
        <v>2.1452054794520548</v>
      </c>
      <c r="K42" s="89">
        <f>ROUND($I42*(1+Preferred_Return_Rate)^tblPref[[#This Row],[Pref Period in Years]]-I42,2)</f>
        <v>18877.54</v>
      </c>
    </row>
    <row r="43" spans="1:11" x14ac:dyDescent="0.25">
      <c r="A43" s="88" t="s">
        <v>99</v>
      </c>
      <c r="C43" s="88" t="s">
        <v>71</v>
      </c>
      <c r="D43" s="90" t="s">
        <v>4</v>
      </c>
      <c r="E43" s="98" t="s">
        <v>71</v>
      </c>
      <c r="G43" s="90">
        <v>8387</v>
      </c>
      <c r="H43" s="93">
        <v>40909</v>
      </c>
      <c r="I43" s="89">
        <v>55640.67</v>
      </c>
      <c r="J43" s="94">
        <f t="shared" si="0"/>
        <v>2.0027397260273974</v>
      </c>
      <c r="K43" s="89">
        <f>ROUND($I43*(1+Preferred_Return_Rate)^tblPref[[#This Row],[Pref Period in Years]]-I43,2)</f>
        <v>4546.75</v>
      </c>
    </row>
    <row r="44" spans="1:11" x14ac:dyDescent="0.25">
      <c r="A44" s="88" t="s">
        <v>99</v>
      </c>
      <c r="C44" s="88" t="s">
        <v>71</v>
      </c>
      <c r="D44" s="90" t="s">
        <v>4</v>
      </c>
      <c r="E44" s="98" t="s">
        <v>71</v>
      </c>
      <c r="G44" s="90">
        <v>8387</v>
      </c>
      <c r="H44" s="93">
        <v>40940</v>
      </c>
      <c r="I44" s="89">
        <v>604599.73</v>
      </c>
      <c r="J44" s="94">
        <f t="shared" si="0"/>
        <v>1.9178082191780821</v>
      </c>
      <c r="K44" s="89">
        <f>ROUND($I44*(1+Preferred_Return_Rate)^tblPref[[#This Row],[Pref Period in Years]]-I44,2)</f>
        <v>47230.69</v>
      </c>
    </row>
    <row r="45" spans="1:11" x14ac:dyDescent="0.25">
      <c r="A45" s="88" t="s">
        <v>99</v>
      </c>
      <c r="C45" s="88" t="s">
        <v>71</v>
      </c>
      <c r="D45" s="90" t="s">
        <v>4</v>
      </c>
      <c r="E45" s="98" t="s">
        <v>71</v>
      </c>
      <c r="G45" s="90">
        <v>8387</v>
      </c>
      <c r="H45" s="93">
        <v>41047</v>
      </c>
      <c r="I45" s="89">
        <v>722891.57</v>
      </c>
      <c r="J45" s="94">
        <f t="shared" si="0"/>
        <v>1.6246575342465754</v>
      </c>
      <c r="K45" s="89">
        <f>ROUND($I45*(1+Preferred_Return_Rate)^tblPref[[#This Row],[Pref Period in Years]]-I45,2)</f>
        <v>47562.06</v>
      </c>
    </row>
    <row r="46" spans="1:11" x14ac:dyDescent="0.25">
      <c r="A46" s="88" t="s">
        <v>99</v>
      </c>
      <c r="C46" s="88" t="s">
        <v>71</v>
      </c>
      <c r="D46" s="90" t="s">
        <v>4</v>
      </c>
      <c r="E46" s="98" t="s">
        <v>71</v>
      </c>
      <c r="G46" s="90">
        <v>8387</v>
      </c>
      <c r="H46" s="93">
        <v>41080</v>
      </c>
      <c r="I46" s="89">
        <v>32192.55</v>
      </c>
      <c r="J46" s="94">
        <f t="shared" si="0"/>
        <v>1.5342465753424657</v>
      </c>
      <c r="K46" s="89">
        <f>ROUND($I46*(1+Preferred_Return_Rate)^tblPref[[#This Row],[Pref Period in Years]]-I46,2)</f>
        <v>1996.63</v>
      </c>
    </row>
    <row r="47" spans="1:11" x14ac:dyDescent="0.25">
      <c r="A47" s="88" t="s">
        <v>99</v>
      </c>
      <c r="C47" s="88" t="s">
        <v>71</v>
      </c>
      <c r="D47" s="90" t="s">
        <v>4</v>
      </c>
      <c r="E47" s="98" t="s">
        <v>71</v>
      </c>
      <c r="G47" s="90">
        <v>8387</v>
      </c>
      <c r="H47" s="93">
        <v>41141</v>
      </c>
      <c r="I47" s="89">
        <v>120481.93</v>
      </c>
      <c r="J47" s="94">
        <f t="shared" si="0"/>
        <v>1.3671232876712329</v>
      </c>
      <c r="K47" s="89">
        <f>ROUND($I47*(1+Preferred_Return_Rate)^tblPref[[#This Row],[Pref Period in Years]]-I47,2)</f>
        <v>6636.52</v>
      </c>
    </row>
    <row r="48" spans="1:11" x14ac:dyDescent="0.25">
      <c r="A48" s="88" t="s">
        <v>99</v>
      </c>
      <c r="C48" s="88" t="s">
        <v>71</v>
      </c>
      <c r="D48" s="90" t="s">
        <v>4</v>
      </c>
      <c r="E48" s="98" t="s">
        <v>71</v>
      </c>
      <c r="G48" s="90">
        <v>8387</v>
      </c>
      <c r="H48" s="93">
        <v>41246</v>
      </c>
      <c r="I48" s="89">
        <v>800686.14</v>
      </c>
      <c r="J48" s="94">
        <f t="shared" si="0"/>
        <v>1.0794520547945206</v>
      </c>
      <c r="K48" s="89">
        <f>ROUND($I48*(1+Preferred_Return_Rate)^tblPref[[#This Row],[Pref Period in Years]]-I48,2)</f>
        <v>34626.370000000003</v>
      </c>
    </row>
    <row r="49" spans="1:11" x14ac:dyDescent="0.25">
      <c r="A49" s="88" t="s">
        <v>99</v>
      </c>
      <c r="C49" s="88" t="s">
        <v>71</v>
      </c>
      <c r="D49" s="90" t="s">
        <v>4</v>
      </c>
      <c r="E49" s="98" t="s">
        <v>71</v>
      </c>
      <c r="G49" s="90">
        <v>8387</v>
      </c>
      <c r="H49" s="93">
        <v>41275</v>
      </c>
      <c r="I49" s="89">
        <v>73484.61</v>
      </c>
      <c r="J49" s="94">
        <f t="shared" si="0"/>
        <v>1</v>
      </c>
      <c r="K49" s="89">
        <f>ROUND($I49*(1+Preferred_Return_Rate)^tblPref[[#This Row],[Pref Period in Years]]-I49,2)</f>
        <v>2939.38</v>
      </c>
    </row>
    <row r="50" spans="1:11" x14ac:dyDescent="0.25">
      <c r="A50" s="88" t="s">
        <v>99</v>
      </c>
      <c r="C50" s="88" t="s">
        <v>71</v>
      </c>
      <c r="D50" s="90" t="s">
        <v>4</v>
      </c>
      <c r="E50" s="98" t="s">
        <v>71</v>
      </c>
      <c r="G50" s="90">
        <v>8387</v>
      </c>
      <c r="H50" s="93">
        <v>41316</v>
      </c>
      <c r="I50" s="89">
        <v>458156.82</v>
      </c>
      <c r="J50" s="94">
        <f t="shared" si="0"/>
        <v>0.88767123287671235</v>
      </c>
      <c r="K50" s="89">
        <f>ROUND($I50*(1+Preferred_Return_Rate)^tblPref[[#This Row],[Pref Period in Years]]-I50,2)</f>
        <v>16231.69</v>
      </c>
    </row>
    <row r="51" spans="1:11" x14ac:dyDescent="0.25">
      <c r="A51" s="88" t="s">
        <v>99</v>
      </c>
      <c r="C51" s="88" t="s">
        <v>72</v>
      </c>
      <c r="D51" s="90" t="s">
        <v>4</v>
      </c>
      <c r="E51" s="98" t="s">
        <v>72</v>
      </c>
      <c r="G51" s="90">
        <v>8360</v>
      </c>
      <c r="H51" s="93">
        <v>40544</v>
      </c>
      <c r="I51" s="89">
        <v>1957.46</v>
      </c>
      <c r="J51" s="94">
        <f t="shared" si="0"/>
        <v>3.0027397260273974</v>
      </c>
      <c r="K51" s="89">
        <f>ROUND($I51*(1+Preferred_Return_Rate)^tblPref[[#This Row],[Pref Period in Years]]-I51,2)</f>
        <v>244.65</v>
      </c>
    </row>
    <row r="52" spans="1:11" x14ac:dyDescent="0.25">
      <c r="A52" s="88" t="s">
        <v>99</v>
      </c>
      <c r="C52" s="88" t="s">
        <v>72</v>
      </c>
      <c r="D52" s="90" t="s">
        <v>4</v>
      </c>
      <c r="E52" s="98" t="s">
        <v>72</v>
      </c>
      <c r="G52" s="90">
        <v>8360</v>
      </c>
      <c r="H52" s="93">
        <v>40563</v>
      </c>
      <c r="I52" s="89">
        <v>21686.75</v>
      </c>
      <c r="J52" s="94">
        <f t="shared" si="0"/>
        <v>2.9506849315068493</v>
      </c>
      <c r="K52" s="89">
        <f>ROUND($I52*(1+Preferred_Return_Rate)^tblPref[[#This Row],[Pref Period in Years]]-I52,2)</f>
        <v>2660.76</v>
      </c>
    </row>
    <row r="53" spans="1:11" x14ac:dyDescent="0.25">
      <c r="A53" s="88" t="s">
        <v>99</v>
      </c>
      <c r="C53" s="88" t="s">
        <v>72</v>
      </c>
      <c r="D53" s="90" t="s">
        <v>4</v>
      </c>
      <c r="E53" s="98" t="s">
        <v>72</v>
      </c>
      <c r="G53" s="90">
        <v>8360</v>
      </c>
      <c r="H53" s="93">
        <v>40661</v>
      </c>
      <c r="I53" s="89">
        <v>14457.83</v>
      </c>
      <c r="J53" s="94">
        <f t="shared" si="0"/>
        <v>2.6821917808219178</v>
      </c>
      <c r="K53" s="89">
        <f>ROUND($I53*(1+Preferred_Return_Rate)^tblPref[[#This Row],[Pref Period in Years]]-I53,2)</f>
        <v>1603.81</v>
      </c>
    </row>
    <row r="54" spans="1:11" x14ac:dyDescent="0.25">
      <c r="A54" s="88" t="s">
        <v>99</v>
      </c>
      <c r="C54" s="88" t="s">
        <v>72</v>
      </c>
      <c r="D54" s="90" t="s">
        <v>4</v>
      </c>
      <c r="E54" s="98" t="s">
        <v>72</v>
      </c>
      <c r="G54" s="90">
        <v>8360</v>
      </c>
      <c r="H54" s="93">
        <v>40745</v>
      </c>
      <c r="I54" s="89">
        <v>68915.67</v>
      </c>
      <c r="J54" s="94">
        <f t="shared" si="0"/>
        <v>2.452054794520548</v>
      </c>
      <c r="K54" s="89">
        <f>ROUND($I54*(1+Preferred_Return_Rate)^tblPref[[#This Row],[Pref Period in Years]]-I54,2)</f>
        <v>6956.88</v>
      </c>
    </row>
    <row r="55" spans="1:11" x14ac:dyDescent="0.25">
      <c r="A55" s="88" t="s">
        <v>99</v>
      </c>
      <c r="C55" s="88" t="s">
        <v>72</v>
      </c>
      <c r="D55" s="90" t="s">
        <v>4</v>
      </c>
      <c r="E55" s="98" t="s">
        <v>72</v>
      </c>
      <c r="G55" s="90">
        <v>8360</v>
      </c>
      <c r="H55" s="93">
        <v>40792</v>
      </c>
      <c r="I55" s="89">
        <v>12048.19</v>
      </c>
      <c r="J55" s="94">
        <f t="shared" si="0"/>
        <v>2.3232876712328765</v>
      </c>
      <c r="K55" s="89">
        <f>ROUND($I55*(1+Preferred_Return_Rate)^tblPref[[#This Row],[Pref Period in Years]]-I55,2)</f>
        <v>1149.42</v>
      </c>
    </row>
    <row r="56" spans="1:11" x14ac:dyDescent="0.25">
      <c r="A56" s="88" t="s">
        <v>99</v>
      </c>
      <c r="C56" s="88" t="s">
        <v>72</v>
      </c>
      <c r="D56" s="90" t="s">
        <v>4</v>
      </c>
      <c r="E56" s="98" t="s">
        <v>72</v>
      </c>
      <c r="G56" s="90">
        <v>8360</v>
      </c>
      <c r="H56" s="93">
        <v>40857</v>
      </c>
      <c r="I56" s="89">
        <v>7228.92</v>
      </c>
      <c r="J56" s="94">
        <f t="shared" si="0"/>
        <v>2.1452054794520548</v>
      </c>
      <c r="K56" s="89">
        <f>ROUND($I56*(1+Preferred_Return_Rate)^tblPref[[#This Row],[Pref Period in Years]]-I56,2)</f>
        <v>634.54</v>
      </c>
    </row>
    <row r="57" spans="1:11" x14ac:dyDescent="0.25">
      <c r="A57" s="88" t="s">
        <v>99</v>
      </c>
      <c r="C57" s="88" t="s">
        <v>72</v>
      </c>
      <c r="D57" s="90" t="s">
        <v>4</v>
      </c>
      <c r="E57" s="98" t="s">
        <v>72</v>
      </c>
      <c r="G57" s="90">
        <v>8360</v>
      </c>
      <c r="H57" s="93">
        <v>40909</v>
      </c>
      <c r="I57" s="89">
        <v>1710.54</v>
      </c>
      <c r="J57" s="94">
        <f t="shared" si="0"/>
        <v>2.0027397260273974</v>
      </c>
      <c r="K57" s="89">
        <f>ROUND($I57*(1+Preferred_Return_Rate)^tblPref[[#This Row],[Pref Period in Years]]-I57,2)</f>
        <v>139.78</v>
      </c>
    </row>
    <row r="58" spans="1:11" x14ac:dyDescent="0.25">
      <c r="A58" s="88" t="s">
        <v>99</v>
      </c>
      <c r="C58" s="88" t="s">
        <v>72</v>
      </c>
      <c r="D58" s="90" t="s">
        <v>4</v>
      </c>
      <c r="E58" s="98" t="s">
        <v>72</v>
      </c>
      <c r="G58" s="90">
        <v>8360</v>
      </c>
      <c r="H58" s="93">
        <v>40940</v>
      </c>
      <c r="I58" s="89">
        <v>17831.330000000002</v>
      </c>
      <c r="J58" s="94">
        <f t="shared" si="0"/>
        <v>1.9178082191780821</v>
      </c>
      <c r="K58" s="89">
        <f>ROUND($I58*(1+Preferred_Return_Rate)^tblPref[[#This Row],[Pref Period in Years]]-I58,2)</f>
        <v>1392.96</v>
      </c>
    </row>
    <row r="59" spans="1:11" x14ac:dyDescent="0.25">
      <c r="A59" s="88" t="s">
        <v>99</v>
      </c>
      <c r="C59" s="88" t="s">
        <v>72</v>
      </c>
      <c r="D59" s="90" t="s">
        <v>4</v>
      </c>
      <c r="E59" s="98" t="s">
        <v>72</v>
      </c>
      <c r="G59" s="90">
        <v>8360</v>
      </c>
      <c r="H59" s="93">
        <v>41047</v>
      </c>
      <c r="I59" s="89">
        <v>28915.66</v>
      </c>
      <c r="J59" s="94">
        <f t="shared" si="0"/>
        <v>1.6246575342465754</v>
      </c>
      <c r="K59" s="89">
        <f>ROUND($I59*(1+Preferred_Return_Rate)^tblPref[[#This Row],[Pref Period in Years]]-I59,2)</f>
        <v>1902.48</v>
      </c>
    </row>
    <row r="60" spans="1:11" x14ac:dyDescent="0.25">
      <c r="A60" s="88" t="s">
        <v>99</v>
      </c>
      <c r="C60" s="88" t="s">
        <v>72</v>
      </c>
      <c r="D60" s="90" t="s">
        <v>4</v>
      </c>
      <c r="E60" s="98" t="s">
        <v>72</v>
      </c>
      <c r="G60" s="90">
        <v>8360</v>
      </c>
      <c r="H60" s="93">
        <v>41141</v>
      </c>
      <c r="I60" s="89">
        <v>4819.28</v>
      </c>
      <c r="J60" s="94">
        <f t="shared" si="0"/>
        <v>1.3671232876712329</v>
      </c>
      <c r="K60" s="89">
        <f>ROUND($I60*(1+Preferred_Return_Rate)^tblPref[[#This Row],[Pref Period in Years]]-I60,2)</f>
        <v>265.45999999999998</v>
      </c>
    </row>
    <row r="61" spans="1:11" x14ac:dyDescent="0.25">
      <c r="A61" s="88" t="s">
        <v>99</v>
      </c>
      <c r="C61" s="88" t="s">
        <v>72</v>
      </c>
      <c r="D61" s="90" t="s">
        <v>4</v>
      </c>
      <c r="E61" s="98" t="s">
        <v>72</v>
      </c>
      <c r="G61" s="90">
        <v>8360</v>
      </c>
      <c r="H61" s="93">
        <v>41246</v>
      </c>
      <c r="I61" s="89">
        <v>23614.46</v>
      </c>
      <c r="J61" s="94">
        <f t="shared" si="0"/>
        <v>1.0794520547945206</v>
      </c>
      <c r="K61" s="89">
        <f>ROUND($I61*(1+Preferred_Return_Rate)^tblPref[[#This Row],[Pref Period in Years]]-I61,2)</f>
        <v>1021.23</v>
      </c>
    </row>
    <row r="62" spans="1:11" x14ac:dyDescent="0.25">
      <c r="A62" s="88" t="s">
        <v>99</v>
      </c>
      <c r="C62" s="88" t="s">
        <v>72</v>
      </c>
      <c r="D62" s="90" t="s">
        <v>4</v>
      </c>
      <c r="E62" s="98" t="s">
        <v>72</v>
      </c>
      <c r="G62" s="90">
        <v>8360</v>
      </c>
      <c r="H62" s="93">
        <v>41275</v>
      </c>
      <c r="I62" s="89">
        <v>2080.91</v>
      </c>
      <c r="J62" s="94">
        <f t="shared" si="0"/>
        <v>1</v>
      </c>
      <c r="K62" s="89">
        <f>ROUND($I62*(1+Preferred_Return_Rate)^tblPref[[#This Row],[Pref Period in Years]]-I62,2)</f>
        <v>83.24</v>
      </c>
    </row>
    <row r="63" spans="1:11" x14ac:dyDescent="0.25">
      <c r="A63" s="88" t="s">
        <v>99</v>
      </c>
      <c r="C63" s="88" t="s">
        <v>72</v>
      </c>
      <c r="D63" s="90" t="s">
        <v>4</v>
      </c>
      <c r="E63" s="98" t="s">
        <v>72</v>
      </c>
      <c r="G63" s="90">
        <v>8360</v>
      </c>
      <c r="H63" s="93">
        <v>41316</v>
      </c>
      <c r="I63" s="89">
        <v>16626.509999999998</v>
      </c>
      <c r="J63" s="94">
        <f t="shared" si="0"/>
        <v>0.88767123287671235</v>
      </c>
      <c r="K63" s="89">
        <f>ROUND($I63*(1+Preferred_Return_Rate)^tblPref[[#This Row],[Pref Period in Years]]-I63,2)</f>
        <v>589.04999999999995</v>
      </c>
    </row>
    <row r="64" spans="1:11" x14ac:dyDescent="0.25">
      <c r="A64" s="88" t="s">
        <v>99</v>
      </c>
      <c r="C64" s="88" t="s">
        <v>73</v>
      </c>
      <c r="D64" s="90" t="s">
        <v>4</v>
      </c>
      <c r="E64" s="98" t="s">
        <v>73</v>
      </c>
      <c r="G64" s="90">
        <v>8406</v>
      </c>
      <c r="H64" s="93">
        <v>40544</v>
      </c>
      <c r="I64" s="89">
        <v>1957.46</v>
      </c>
      <c r="J64" s="94">
        <f t="shared" si="0"/>
        <v>3.0027397260273974</v>
      </c>
      <c r="K64" s="89">
        <f>ROUND($I64*(1+Preferred_Return_Rate)^tblPref[[#This Row],[Pref Period in Years]]-I64,2)</f>
        <v>244.65</v>
      </c>
    </row>
    <row r="65" spans="1:11" x14ac:dyDescent="0.25">
      <c r="A65" s="88" t="s">
        <v>99</v>
      </c>
      <c r="C65" s="88" t="s">
        <v>73</v>
      </c>
      <c r="D65" s="90" t="s">
        <v>4</v>
      </c>
      <c r="E65" s="98" t="s">
        <v>73</v>
      </c>
      <c r="G65" s="90">
        <v>8406</v>
      </c>
      <c r="H65" s="93">
        <v>40563</v>
      </c>
      <c r="I65" s="89">
        <v>21686.75</v>
      </c>
      <c r="J65" s="94">
        <f t="shared" si="0"/>
        <v>2.9506849315068493</v>
      </c>
      <c r="K65" s="89">
        <f>ROUND($I65*(1+Preferred_Return_Rate)^tblPref[[#This Row],[Pref Period in Years]]-I65,2)</f>
        <v>2660.76</v>
      </c>
    </row>
    <row r="66" spans="1:11" x14ac:dyDescent="0.25">
      <c r="A66" s="88" t="s">
        <v>99</v>
      </c>
      <c r="C66" s="88" t="s">
        <v>73</v>
      </c>
      <c r="D66" s="90" t="s">
        <v>4</v>
      </c>
      <c r="E66" s="98" t="s">
        <v>73</v>
      </c>
      <c r="G66" s="90">
        <v>8406</v>
      </c>
      <c r="H66" s="93">
        <v>40661</v>
      </c>
      <c r="I66" s="89">
        <v>14457.83</v>
      </c>
      <c r="J66" s="94">
        <f t="shared" si="0"/>
        <v>2.6821917808219178</v>
      </c>
      <c r="K66" s="89">
        <f>ROUND($I66*(1+Preferred_Return_Rate)^tblPref[[#This Row],[Pref Period in Years]]-I66,2)</f>
        <v>1603.81</v>
      </c>
    </row>
    <row r="67" spans="1:11" x14ac:dyDescent="0.25">
      <c r="A67" s="88" t="s">
        <v>99</v>
      </c>
      <c r="C67" s="88" t="s">
        <v>73</v>
      </c>
      <c r="D67" s="90" t="s">
        <v>4</v>
      </c>
      <c r="E67" s="98" t="s">
        <v>73</v>
      </c>
      <c r="G67" s="90">
        <v>8406</v>
      </c>
      <c r="H67" s="93">
        <v>40745</v>
      </c>
      <c r="I67" s="89">
        <v>68915.67</v>
      </c>
      <c r="J67" s="94">
        <f t="shared" si="0"/>
        <v>2.452054794520548</v>
      </c>
      <c r="K67" s="89">
        <f>ROUND($I67*(1+Preferred_Return_Rate)^tblPref[[#This Row],[Pref Period in Years]]-I67,2)</f>
        <v>6956.88</v>
      </c>
    </row>
    <row r="68" spans="1:11" x14ac:dyDescent="0.25">
      <c r="A68" s="88" t="s">
        <v>99</v>
      </c>
      <c r="C68" s="88" t="s">
        <v>73</v>
      </c>
      <c r="D68" s="90" t="s">
        <v>4</v>
      </c>
      <c r="E68" s="98" t="s">
        <v>73</v>
      </c>
      <c r="G68" s="90">
        <v>8406</v>
      </c>
      <c r="H68" s="93">
        <v>40792</v>
      </c>
      <c r="I68" s="89">
        <v>12048.19</v>
      </c>
      <c r="J68" s="94">
        <f t="shared" si="0"/>
        <v>2.3232876712328765</v>
      </c>
      <c r="K68" s="89">
        <f>ROUND($I68*(1+Preferred_Return_Rate)^tblPref[[#This Row],[Pref Period in Years]]-I68,2)</f>
        <v>1149.42</v>
      </c>
    </row>
    <row r="69" spans="1:11" x14ac:dyDescent="0.25">
      <c r="A69" s="88" t="s">
        <v>99</v>
      </c>
      <c r="C69" s="88" t="s">
        <v>73</v>
      </c>
      <c r="D69" s="90" t="s">
        <v>4</v>
      </c>
      <c r="E69" s="98" t="s">
        <v>73</v>
      </c>
      <c r="G69" s="90">
        <v>8406</v>
      </c>
      <c r="H69" s="93">
        <v>40857</v>
      </c>
      <c r="I69" s="89">
        <v>7228.92</v>
      </c>
      <c r="J69" s="94">
        <f t="shared" si="0"/>
        <v>2.1452054794520548</v>
      </c>
      <c r="K69" s="89">
        <f>ROUND($I69*(1+Preferred_Return_Rate)^tblPref[[#This Row],[Pref Period in Years]]-I69,2)</f>
        <v>634.54</v>
      </c>
    </row>
    <row r="70" spans="1:11" x14ac:dyDescent="0.25">
      <c r="A70" s="88" t="s">
        <v>99</v>
      </c>
      <c r="C70" s="88" t="s">
        <v>73</v>
      </c>
      <c r="D70" s="90" t="s">
        <v>4</v>
      </c>
      <c r="E70" s="98" t="s">
        <v>73</v>
      </c>
      <c r="G70" s="90">
        <v>8406</v>
      </c>
      <c r="H70" s="93">
        <v>40909</v>
      </c>
      <c r="I70" s="89">
        <v>1710.54</v>
      </c>
      <c r="J70" s="94">
        <f t="shared" ref="J70:J133" si="1">((Period_End_Date-$H70+1)/365)</f>
        <v>2.0027397260273974</v>
      </c>
      <c r="K70" s="89">
        <f>ROUND($I70*(1+Preferred_Return_Rate)^tblPref[[#This Row],[Pref Period in Years]]-I70,2)</f>
        <v>139.78</v>
      </c>
    </row>
    <row r="71" spans="1:11" x14ac:dyDescent="0.25">
      <c r="A71" s="88" t="s">
        <v>99</v>
      </c>
      <c r="C71" s="88" t="s">
        <v>73</v>
      </c>
      <c r="D71" s="90" t="s">
        <v>4</v>
      </c>
      <c r="E71" s="98" t="s">
        <v>73</v>
      </c>
      <c r="G71" s="90">
        <v>8406</v>
      </c>
      <c r="H71" s="93">
        <v>40940</v>
      </c>
      <c r="I71" s="89">
        <v>17831.330000000002</v>
      </c>
      <c r="J71" s="94">
        <f t="shared" si="1"/>
        <v>1.9178082191780821</v>
      </c>
      <c r="K71" s="89">
        <f>ROUND($I71*(1+Preferred_Return_Rate)^tblPref[[#This Row],[Pref Period in Years]]-I71,2)</f>
        <v>1392.96</v>
      </c>
    </row>
    <row r="72" spans="1:11" x14ac:dyDescent="0.25">
      <c r="A72" s="88" t="s">
        <v>99</v>
      </c>
      <c r="C72" s="88" t="s">
        <v>73</v>
      </c>
      <c r="D72" s="90" t="s">
        <v>4</v>
      </c>
      <c r="E72" s="98" t="s">
        <v>73</v>
      </c>
      <c r="G72" s="90">
        <v>8406</v>
      </c>
      <c r="H72" s="93">
        <v>41047</v>
      </c>
      <c r="I72" s="89">
        <v>28915.66</v>
      </c>
      <c r="J72" s="94">
        <f t="shared" si="1"/>
        <v>1.6246575342465754</v>
      </c>
      <c r="K72" s="89">
        <f>ROUND($I72*(1+Preferred_Return_Rate)^tblPref[[#This Row],[Pref Period in Years]]-I72,2)</f>
        <v>1902.48</v>
      </c>
    </row>
    <row r="73" spans="1:11" x14ac:dyDescent="0.25">
      <c r="A73" s="88" t="s">
        <v>99</v>
      </c>
      <c r="C73" s="88" t="s">
        <v>73</v>
      </c>
      <c r="D73" s="90" t="s">
        <v>4</v>
      </c>
      <c r="E73" s="98" t="s">
        <v>73</v>
      </c>
      <c r="G73" s="90">
        <v>8406</v>
      </c>
      <c r="H73" s="93">
        <v>41141</v>
      </c>
      <c r="I73" s="89">
        <v>4819.28</v>
      </c>
      <c r="J73" s="94">
        <f t="shared" si="1"/>
        <v>1.3671232876712329</v>
      </c>
      <c r="K73" s="89">
        <f>ROUND($I73*(1+Preferred_Return_Rate)^tblPref[[#This Row],[Pref Period in Years]]-I73,2)</f>
        <v>265.45999999999998</v>
      </c>
    </row>
    <row r="74" spans="1:11" x14ac:dyDescent="0.25">
      <c r="A74" s="88" t="s">
        <v>99</v>
      </c>
      <c r="C74" s="88" t="s">
        <v>73</v>
      </c>
      <c r="D74" s="90" t="s">
        <v>4</v>
      </c>
      <c r="E74" s="98" t="s">
        <v>73</v>
      </c>
      <c r="G74" s="90">
        <v>8406</v>
      </c>
      <c r="H74" s="93">
        <v>41246</v>
      </c>
      <c r="I74" s="89">
        <v>23614.46</v>
      </c>
      <c r="J74" s="94">
        <f t="shared" si="1"/>
        <v>1.0794520547945206</v>
      </c>
      <c r="K74" s="89">
        <f>ROUND($I74*(1+Preferred_Return_Rate)^tblPref[[#This Row],[Pref Period in Years]]-I74,2)</f>
        <v>1021.23</v>
      </c>
    </row>
    <row r="75" spans="1:11" x14ac:dyDescent="0.25">
      <c r="A75" s="88" t="s">
        <v>99</v>
      </c>
      <c r="C75" s="88" t="s">
        <v>73</v>
      </c>
      <c r="D75" s="90" t="s">
        <v>4</v>
      </c>
      <c r="E75" s="98" t="s">
        <v>73</v>
      </c>
      <c r="G75" s="90">
        <v>8406</v>
      </c>
      <c r="H75" s="93">
        <v>41275</v>
      </c>
      <c r="I75" s="89">
        <v>2080.91</v>
      </c>
      <c r="J75" s="94">
        <f t="shared" si="1"/>
        <v>1</v>
      </c>
      <c r="K75" s="89">
        <f>ROUND($I75*(1+Preferred_Return_Rate)^tblPref[[#This Row],[Pref Period in Years]]-I75,2)</f>
        <v>83.24</v>
      </c>
    </row>
    <row r="76" spans="1:11" x14ac:dyDescent="0.25">
      <c r="A76" s="88" t="s">
        <v>99</v>
      </c>
      <c r="C76" s="88" t="s">
        <v>73</v>
      </c>
      <c r="D76" s="90" t="s">
        <v>4</v>
      </c>
      <c r="E76" s="98" t="s">
        <v>73</v>
      </c>
      <c r="G76" s="90">
        <v>8406</v>
      </c>
      <c r="H76" s="93">
        <v>41316</v>
      </c>
      <c r="I76" s="89">
        <v>16626.509999999998</v>
      </c>
      <c r="J76" s="94">
        <f t="shared" si="1"/>
        <v>0.88767123287671235</v>
      </c>
      <c r="K76" s="89">
        <f>ROUND($I76*(1+Preferred_Return_Rate)^tblPref[[#This Row],[Pref Period in Years]]-I76,2)</f>
        <v>589.04999999999995</v>
      </c>
    </row>
    <row r="77" spans="1:11" x14ac:dyDescent="0.25">
      <c r="A77" s="88" t="s">
        <v>99</v>
      </c>
      <c r="C77" s="88" t="s">
        <v>74</v>
      </c>
      <c r="D77" s="90" t="s">
        <v>4</v>
      </c>
      <c r="E77" s="98" t="s">
        <v>74</v>
      </c>
      <c r="G77" s="90">
        <v>8357</v>
      </c>
      <c r="H77" s="93">
        <v>40544</v>
      </c>
      <c r="I77" s="89">
        <v>58234.42</v>
      </c>
      <c r="J77" s="94">
        <f t="shared" si="1"/>
        <v>3.0027397260273974</v>
      </c>
      <c r="K77" s="89">
        <f>ROUND($I77*(1+Preferred_Return_Rate)^tblPref[[#This Row],[Pref Period in Years]]-I77,2)</f>
        <v>7278.42</v>
      </c>
    </row>
    <row r="78" spans="1:11" x14ac:dyDescent="0.25">
      <c r="A78" s="88" t="s">
        <v>99</v>
      </c>
      <c r="C78" s="88" t="s">
        <v>74</v>
      </c>
      <c r="D78" s="90" t="s">
        <v>4</v>
      </c>
      <c r="E78" s="98" t="s">
        <v>74</v>
      </c>
      <c r="G78" s="90">
        <v>8357</v>
      </c>
      <c r="H78" s="93">
        <v>40563</v>
      </c>
      <c r="I78" s="89">
        <v>645180.72</v>
      </c>
      <c r="J78" s="94">
        <f t="shared" si="1"/>
        <v>2.9506849315068493</v>
      </c>
      <c r="K78" s="89">
        <f>ROUND($I78*(1+Preferred_Return_Rate)^tblPref[[#This Row],[Pref Period in Years]]-I78,2)</f>
        <v>79157.490000000005</v>
      </c>
    </row>
    <row r="79" spans="1:11" x14ac:dyDescent="0.25">
      <c r="A79" s="88" t="s">
        <v>99</v>
      </c>
      <c r="C79" s="88" t="s">
        <v>74</v>
      </c>
      <c r="D79" s="90" t="s">
        <v>4</v>
      </c>
      <c r="E79" s="98" t="s">
        <v>74</v>
      </c>
      <c r="G79" s="90">
        <v>8357</v>
      </c>
      <c r="H79" s="93">
        <v>40661</v>
      </c>
      <c r="I79" s="89">
        <v>430120.48</v>
      </c>
      <c r="J79" s="94">
        <f t="shared" si="1"/>
        <v>2.6821917808219178</v>
      </c>
      <c r="K79" s="89">
        <f>ROUND($I79*(1+Preferred_Return_Rate)^tblPref[[#This Row],[Pref Period in Years]]-I79,2)</f>
        <v>47713.25</v>
      </c>
    </row>
    <row r="80" spans="1:11" x14ac:dyDescent="0.25">
      <c r="A80" s="88" t="s">
        <v>99</v>
      </c>
      <c r="C80" s="88" t="s">
        <v>74</v>
      </c>
      <c r="D80" s="90" t="s">
        <v>4</v>
      </c>
      <c r="E80" s="98" t="s">
        <v>74</v>
      </c>
      <c r="G80" s="90">
        <v>8357</v>
      </c>
      <c r="H80" s="93">
        <v>40745</v>
      </c>
      <c r="I80" s="89">
        <v>2050240.96</v>
      </c>
      <c r="J80" s="94">
        <f t="shared" si="1"/>
        <v>2.452054794520548</v>
      </c>
      <c r="K80" s="89">
        <f>ROUND($I80*(1+Preferred_Return_Rate)^tblPref[[#This Row],[Pref Period in Years]]-I80,2)</f>
        <v>206967.07</v>
      </c>
    </row>
    <row r="81" spans="1:11" x14ac:dyDescent="0.25">
      <c r="A81" s="88" t="s">
        <v>99</v>
      </c>
      <c r="C81" s="88" t="s">
        <v>74</v>
      </c>
      <c r="D81" s="90" t="s">
        <v>4</v>
      </c>
      <c r="E81" s="98" t="s">
        <v>74</v>
      </c>
      <c r="G81" s="90">
        <v>8357</v>
      </c>
      <c r="H81" s="93">
        <v>40792</v>
      </c>
      <c r="I81" s="89">
        <v>358433.73</v>
      </c>
      <c r="J81" s="94">
        <f t="shared" si="1"/>
        <v>2.3232876712328765</v>
      </c>
      <c r="K81" s="89">
        <f>ROUND($I81*(1+Preferred_Return_Rate)^tblPref[[#This Row],[Pref Period in Years]]-I81,2)</f>
        <v>34195.129999999997</v>
      </c>
    </row>
    <row r="82" spans="1:11" x14ac:dyDescent="0.25">
      <c r="A82" s="88" t="s">
        <v>99</v>
      </c>
      <c r="C82" s="88" t="s">
        <v>74</v>
      </c>
      <c r="D82" s="90" t="s">
        <v>4</v>
      </c>
      <c r="E82" s="98" t="s">
        <v>74</v>
      </c>
      <c r="G82" s="90">
        <v>8357</v>
      </c>
      <c r="H82" s="93">
        <v>40857</v>
      </c>
      <c r="I82" s="89">
        <v>215060.24</v>
      </c>
      <c r="J82" s="94">
        <f t="shared" si="1"/>
        <v>2.1452054794520548</v>
      </c>
      <c r="K82" s="89">
        <f>ROUND($I82*(1+Preferred_Return_Rate)^tblPref[[#This Row],[Pref Period in Years]]-I82,2)</f>
        <v>18877.419999999998</v>
      </c>
    </row>
    <row r="83" spans="1:11" x14ac:dyDescent="0.25">
      <c r="A83" s="88" t="s">
        <v>99</v>
      </c>
      <c r="C83" s="88" t="s">
        <v>74</v>
      </c>
      <c r="D83" s="90" t="s">
        <v>4</v>
      </c>
      <c r="E83" s="98" t="s">
        <v>74</v>
      </c>
      <c r="G83" s="90">
        <v>8357</v>
      </c>
      <c r="H83" s="93">
        <v>40909</v>
      </c>
      <c r="I83" s="89">
        <v>50888.74</v>
      </c>
      <c r="J83" s="94">
        <f t="shared" si="1"/>
        <v>2.0027397260273974</v>
      </c>
      <c r="K83" s="89">
        <f>ROUND($I83*(1+Preferred_Return_Rate)^tblPref[[#This Row],[Pref Period in Years]]-I83,2)</f>
        <v>4158.4399999999996</v>
      </c>
    </row>
    <row r="84" spans="1:11" x14ac:dyDescent="0.25">
      <c r="A84" s="88" t="s">
        <v>99</v>
      </c>
      <c r="C84" s="88" t="s">
        <v>74</v>
      </c>
      <c r="D84" s="90" t="s">
        <v>4</v>
      </c>
      <c r="E84" s="98" t="s">
        <v>74</v>
      </c>
      <c r="G84" s="90">
        <v>8357</v>
      </c>
      <c r="H84" s="93">
        <v>40940</v>
      </c>
      <c r="I84" s="89">
        <v>530481.93000000005</v>
      </c>
      <c r="J84" s="94">
        <f t="shared" si="1"/>
        <v>1.9178082191780821</v>
      </c>
      <c r="K84" s="89">
        <f>ROUND($I84*(1+Preferred_Return_Rate)^tblPref[[#This Row],[Pref Period in Years]]-I84,2)</f>
        <v>41440.69</v>
      </c>
    </row>
    <row r="85" spans="1:11" x14ac:dyDescent="0.25">
      <c r="A85" s="88" t="s">
        <v>99</v>
      </c>
      <c r="C85" s="88" t="s">
        <v>74</v>
      </c>
      <c r="D85" s="90" t="s">
        <v>4</v>
      </c>
      <c r="E85" s="98" t="s">
        <v>74</v>
      </c>
      <c r="G85" s="90">
        <v>8357</v>
      </c>
      <c r="H85" s="93">
        <v>41047</v>
      </c>
      <c r="I85" s="89">
        <v>860240.96</v>
      </c>
      <c r="J85" s="94">
        <f t="shared" si="1"/>
        <v>1.6246575342465754</v>
      </c>
      <c r="K85" s="89">
        <f>ROUND($I85*(1+Preferred_Return_Rate)^tblPref[[#This Row],[Pref Period in Years]]-I85,2)</f>
        <v>56598.85</v>
      </c>
    </row>
    <row r="86" spans="1:11" x14ac:dyDescent="0.25">
      <c r="A86" s="88" t="s">
        <v>99</v>
      </c>
      <c r="C86" s="88" t="s">
        <v>74</v>
      </c>
      <c r="D86" s="90" t="s">
        <v>4</v>
      </c>
      <c r="E86" s="98" t="s">
        <v>74</v>
      </c>
      <c r="G86" s="90">
        <v>8357</v>
      </c>
      <c r="H86" s="93">
        <v>41141</v>
      </c>
      <c r="I86" s="89">
        <v>143373.49</v>
      </c>
      <c r="J86" s="94">
        <f t="shared" si="1"/>
        <v>1.3671232876712329</v>
      </c>
      <c r="K86" s="89">
        <f>ROUND($I86*(1+Preferred_Return_Rate)^tblPref[[#This Row],[Pref Period in Years]]-I86,2)</f>
        <v>7897.46</v>
      </c>
    </row>
    <row r="87" spans="1:11" x14ac:dyDescent="0.25">
      <c r="A87" s="88" t="s">
        <v>99</v>
      </c>
      <c r="C87" s="88" t="s">
        <v>74</v>
      </c>
      <c r="D87" s="90" t="s">
        <v>4</v>
      </c>
      <c r="E87" s="98" t="s">
        <v>74</v>
      </c>
      <c r="G87" s="90">
        <v>8357</v>
      </c>
      <c r="H87" s="93">
        <v>41246</v>
      </c>
      <c r="I87" s="89">
        <v>702530.13</v>
      </c>
      <c r="J87" s="94">
        <f t="shared" si="1"/>
        <v>1.0794520547945206</v>
      </c>
      <c r="K87" s="89">
        <f>ROUND($I87*(1+Preferred_Return_Rate)^tblPref[[#This Row],[Pref Period in Years]]-I87,2)</f>
        <v>30381.52</v>
      </c>
    </row>
    <row r="88" spans="1:11" x14ac:dyDescent="0.25">
      <c r="A88" s="88" t="s">
        <v>99</v>
      </c>
      <c r="C88" s="88" t="s">
        <v>74</v>
      </c>
      <c r="D88" s="90" t="s">
        <v>4</v>
      </c>
      <c r="E88" s="98" t="s">
        <v>74</v>
      </c>
      <c r="G88" s="90">
        <v>8357</v>
      </c>
      <c r="H88" s="93">
        <v>41275</v>
      </c>
      <c r="I88" s="89">
        <v>61907.25</v>
      </c>
      <c r="J88" s="94">
        <f t="shared" si="1"/>
        <v>1</v>
      </c>
      <c r="K88" s="89">
        <f>ROUND($I88*(1+Preferred_Return_Rate)^tblPref[[#This Row],[Pref Period in Years]]-I88,2)</f>
        <v>2476.29</v>
      </c>
    </row>
    <row r="89" spans="1:11" x14ac:dyDescent="0.25">
      <c r="A89" s="88" t="s">
        <v>99</v>
      </c>
      <c r="C89" s="88" t="s">
        <v>74</v>
      </c>
      <c r="D89" s="90" t="s">
        <v>4</v>
      </c>
      <c r="E89" s="98" t="s">
        <v>74</v>
      </c>
      <c r="G89" s="90">
        <v>8357</v>
      </c>
      <c r="H89" s="93">
        <v>41316</v>
      </c>
      <c r="I89" s="89">
        <v>494638.55</v>
      </c>
      <c r="J89" s="94">
        <f t="shared" si="1"/>
        <v>0.88767123287671235</v>
      </c>
      <c r="K89" s="89">
        <f>ROUND($I89*(1+Preferred_Return_Rate)^tblPref[[#This Row],[Pref Period in Years]]-I89,2)</f>
        <v>17524.169999999998</v>
      </c>
    </row>
    <row r="90" spans="1:11" x14ac:dyDescent="0.25">
      <c r="A90" s="88" t="s">
        <v>99</v>
      </c>
      <c r="C90" s="88" t="s">
        <v>75</v>
      </c>
      <c r="D90" s="90" t="s">
        <v>4</v>
      </c>
      <c r="E90" s="98" t="s">
        <v>75</v>
      </c>
      <c r="G90" s="90">
        <v>8391</v>
      </c>
      <c r="H90" s="93">
        <v>40544</v>
      </c>
      <c r="I90" s="89">
        <v>228773.44</v>
      </c>
      <c r="J90" s="94">
        <f t="shared" si="1"/>
        <v>3.0027397260273974</v>
      </c>
      <c r="K90" s="89">
        <f>ROUND($I90*(1+Preferred_Return_Rate)^tblPref[[#This Row],[Pref Period in Years]]-I90,2)</f>
        <v>28593.22</v>
      </c>
    </row>
    <row r="91" spans="1:11" x14ac:dyDescent="0.25">
      <c r="A91" s="88" t="s">
        <v>99</v>
      </c>
      <c r="C91" s="88" t="s">
        <v>75</v>
      </c>
      <c r="D91" s="90" t="s">
        <v>4</v>
      </c>
      <c r="E91" s="98" t="s">
        <v>75</v>
      </c>
      <c r="G91" s="90">
        <v>8391</v>
      </c>
      <c r="H91" s="93">
        <v>40563</v>
      </c>
      <c r="I91" s="89">
        <v>37951.81</v>
      </c>
      <c r="J91" s="94">
        <f t="shared" si="1"/>
        <v>2.9506849315068493</v>
      </c>
      <c r="K91" s="89">
        <f>ROUND($I91*(1+Preferred_Return_Rate)^tblPref[[#This Row],[Pref Period in Years]]-I91,2)</f>
        <v>4656.32</v>
      </c>
    </row>
    <row r="92" spans="1:11" x14ac:dyDescent="0.25">
      <c r="A92" s="88" t="s">
        <v>99</v>
      </c>
      <c r="C92" s="88" t="s">
        <v>75</v>
      </c>
      <c r="D92" s="90" t="s">
        <v>4</v>
      </c>
      <c r="E92" s="98" t="s">
        <v>75</v>
      </c>
      <c r="G92" s="90">
        <v>8391</v>
      </c>
      <c r="H92" s="93">
        <v>40564</v>
      </c>
      <c r="I92" s="89">
        <v>2725207.03</v>
      </c>
      <c r="J92" s="94">
        <f t="shared" si="1"/>
        <v>2.9479452054794519</v>
      </c>
      <c r="K92" s="89">
        <f>ROUND($I92*(1+Preferred_Return_Rate)^tblPref[[#This Row],[Pref Period in Years]]-I92,2)</f>
        <v>334028.06</v>
      </c>
    </row>
    <row r="93" spans="1:11" x14ac:dyDescent="0.25">
      <c r="A93" s="88" t="s">
        <v>99</v>
      </c>
      <c r="C93" s="88" t="s">
        <v>75</v>
      </c>
      <c r="D93" s="90" t="s">
        <v>4</v>
      </c>
      <c r="E93" s="98" t="s">
        <v>75</v>
      </c>
      <c r="G93" s="90">
        <v>8391</v>
      </c>
      <c r="H93" s="93">
        <v>40585</v>
      </c>
      <c r="I93" s="89">
        <v>1226894.01</v>
      </c>
      <c r="J93" s="94">
        <f t="shared" si="1"/>
        <v>2.8904109589041096</v>
      </c>
      <c r="K93" s="89">
        <f>ROUND($I93*(1+Preferred_Return_Rate)^tblPref[[#This Row],[Pref Period in Years]]-I93,2)</f>
        <v>147275.78</v>
      </c>
    </row>
    <row r="94" spans="1:11" x14ac:dyDescent="0.25">
      <c r="A94" s="88" t="s">
        <v>99</v>
      </c>
      <c r="C94" s="88" t="s">
        <v>75</v>
      </c>
      <c r="D94" s="90" t="s">
        <v>4</v>
      </c>
      <c r="E94" s="98" t="s">
        <v>75</v>
      </c>
      <c r="G94" s="90">
        <v>8391</v>
      </c>
      <c r="H94" s="93">
        <v>40589</v>
      </c>
      <c r="I94" s="89">
        <v>3004638.37</v>
      </c>
      <c r="J94" s="94">
        <f t="shared" si="1"/>
        <v>2.8794520547945206</v>
      </c>
      <c r="K94" s="89">
        <f>ROUND($I94*(1+Preferred_Return_Rate)^tblPref[[#This Row],[Pref Period in Years]]-I94,2)</f>
        <v>359229.22</v>
      </c>
    </row>
    <row r="95" spans="1:11" x14ac:dyDescent="0.25">
      <c r="A95" s="88" t="s">
        <v>99</v>
      </c>
      <c r="C95" s="88" t="s">
        <v>75</v>
      </c>
      <c r="D95" s="90" t="s">
        <v>4</v>
      </c>
      <c r="E95" s="98" t="s">
        <v>75</v>
      </c>
      <c r="G95" s="90">
        <v>8391</v>
      </c>
      <c r="H95" s="93">
        <v>40661</v>
      </c>
      <c r="I95" s="89">
        <v>25301.200000000001</v>
      </c>
      <c r="J95" s="94">
        <f t="shared" si="1"/>
        <v>2.6821917808219178</v>
      </c>
      <c r="K95" s="89">
        <f>ROUND($I95*(1+Preferred_Return_Rate)^tblPref[[#This Row],[Pref Period in Years]]-I95,2)</f>
        <v>2806.66</v>
      </c>
    </row>
    <row r="96" spans="1:11" x14ac:dyDescent="0.25">
      <c r="A96" s="88" t="s">
        <v>99</v>
      </c>
      <c r="C96" s="88" t="s">
        <v>75</v>
      </c>
      <c r="D96" s="90" t="s">
        <v>4</v>
      </c>
      <c r="E96" s="98" t="s">
        <v>75</v>
      </c>
      <c r="G96" s="90">
        <v>8391</v>
      </c>
      <c r="H96" s="93">
        <v>40662</v>
      </c>
      <c r="I96" s="89">
        <v>2652594.9300000002</v>
      </c>
      <c r="J96" s="94">
        <f t="shared" si="1"/>
        <v>2.6794520547945204</v>
      </c>
      <c r="K96" s="89">
        <f>ROUND($I96*(1+Preferred_Return_Rate)^tblPref[[#This Row],[Pref Period in Years]]-I96,2)</f>
        <v>293935.64</v>
      </c>
    </row>
    <row r="97" spans="1:11" x14ac:dyDescent="0.25">
      <c r="A97" s="88" t="s">
        <v>99</v>
      </c>
      <c r="C97" s="88" t="s">
        <v>75</v>
      </c>
      <c r="D97" s="90" t="s">
        <v>4</v>
      </c>
      <c r="E97" s="98" t="s">
        <v>75</v>
      </c>
      <c r="G97" s="90">
        <v>8391</v>
      </c>
      <c r="H97" s="93">
        <v>40745</v>
      </c>
      <c r="I97" s="89">
        <v>5128333.03</v>
      </c>
      <c r="J97" s="94">
        <f t="shared" si="1"/>
        <v>2.452054794520548</v>
      </c>
      <c r="K97" s="89">
        <f>ROUND($I97*(1+Preferred_Return_Rate)^tblPref[[#This Row],[Pref Period in Years]]-I97,2)</f>
        <v>517693.33</v>
      </c>
    </row>
    <row r="98" spans="1:11" x14ac:dyDescent="0.25">
      <c r="A98" s="88" t="s">
        <v>99</v>
      </c>
      <c r="C98" s="88" t="s">
        <v>75</v>
      </c>
      <c r="D98" s="90" t="s">
        <v>4</v>
      </c>
      <c r="E98" s="98" t="s">
        <v>75</v>
      </c>
      <c r="G98" s="90">
        <v>8391</v>
      </c>
      <c r="H98" s="93">
        <v>40792</v>
      </c>
      <c r="I98" s="89">
        <v>1273017.01</v>
      </c>
      <c r="J98" s="94">
        <f t="shared" si="1"/>
        <v>2.3232876712328765</v>
      </c>
      <c r="K98" s="89">
        <f>ROUND($I98*(1+Preferred_Return_Rate)^tblPref[[#This Row],[Pref Period in Years]]-I98,2)</f>
        <v>121447.78</v>
      </c>
    </row>
    <row r="99" spans="1:11" x14ac:dyDescent="0.25">
      <c r="A99" s="88" t="s">
        <v>99</v>
      </c>
      <c r="C99" s="88" t="s">
        <v>75</v>
      </c>
      <c r="D99" s="90" t="s">
        <v>4</v>
      </c>
      <c r="E99" s="98" t="s">
        <v>75</v>
      </c>
      <c r="G99" s="90">
        <v>8391</v>
      </c>
      <c r="H99" s="93">
        <v>40857</v>
      </c>
      <c r="I99" s="89">
        <v>413269.06</v>
      </c>
      <c r="J99" s="94">
        <f t="shared" si="1"/>
        <v>2.1452054794520548</v>
      </c>
      <c r="K99" s="89">
        <f>ROUND($I99*(1+Preferred_Return_Rate)^tblPref[[#This Row],[Pref Period in Years]]-I99,2)</f>
        <v>36275.660000000003</v>
      </c>
    </row>
    <row r="100" spans="1:11" x14ac:dyDescent="0.25">
      <c r="A100" s="88" t="s">
        <v>99</v>
      </c>
      <c r="C100" s="88" t="s">
        <v>75</v>
      </c>
      <c r="D100" s="90" t="s">
        <v>4</v>
      </c>
      <c r="E100" s="98" t="s">
        <v>75</v>
      </c>
      <c r="G100" s="90">
        <v>8391</v>
      </c>
      <c r="H100" s="93">
        <v>40909</v>
      </c>
      <c r="I100" s="89">
        <v>153225.38</v>
      </c>
      <c r="J100" s="94">
        <f t="shared" si="1"/>
        <v>2.0027397260273974</v>
      </c>
      <c r="K100" s="89">
        <f>ROUND($I100*(1+Preferred_Return_Rate)^tblPref[[#This Row],[Pref Period in Years]]-I100,2)</f>
        <v>12521</v>
      </c>
    </row>
    <row r="101" spans="1:11" x14ac:dyDescent="0.25">
      <c r="A101" s="88" t="s">
        <v>99</v>
      </c>
      <c r="C101" s="88" t="s">
        <v>75</v>
      </c>
      <c r="D101" s="90" t="s">
        <v>4</v>
      </c>
      <c r="E101" s="98" t="s">
        <v>75</v>
      </c>
      <c r="G101" s="90">
        <v>8391</v>
      </c>
      <c r="H101" s="93">
        <v>40940</v>
      </c>
      <c r="I101" s="89">
        <v>1884065.14</v>
      </c>
      <c r="J101" s="94">
        <f t="shared" si="1"/>
        <v>1.9178082191780821</v>
      </c>
      <c r="K101" s="89">
        <f>ROUND($I101*(1+Preferred_Return_Rate)^tblPref[[#This Row],[Pref Period in Years]]-I101,2)</f>
        <v>147181.18</v>
      </c>
    </row>
    <row r="102" spans="1:11" x14ac:dyDescent="0.25">
      <c r="A102" s="88" t="s">
        <v>99</v>
      </c>
      <c r="C102" s="88" t="s">
        <v>75</v>
      </c>
      <c r="D102" s="90" t="s">
        <v>4</v>
      </c>
      <c r="E102" s="98" t="s">
        <v>75</v>
      </c>
      <c r="G102" s="90">
        <v>8391</v>
      </c>
      <c r="H102" s="93">
        <v>41047</v>
      </c>
      <c r="I102" s="89">
        <v>50602.41</v>
      </c>
      <c r="J102" s="94">
        <f t="shared" si="1"/>
        <v>1.6246575342465754</v>
      </c>
      <c r="K102" s="89">
        <f>ROUND($I102*(1+Preferred_Return_Rate)^tblPref[[#This Row],[Pref Period in Years]]-I102,2)</f>
        <v>3329.34</v>
      </c>
    </row>
    <row r="103" spans="1:11" x14ac:dyDescent="0.25">
      <c r="A103" s="88" t="s">
        <v>99</v>
      </c>
      <c r="C103" s="88" t="s">
        <v>75</v>
      </c>
      <c r="D103" s="90" t="s">
        <v>4</v>
      </c>
      <c r="E103" s="98" t="s">
        <v>75</v>
      </c>
      <c r="G103" s="90">
        <v>8391</v>
      </c>
      <c r="H103" s="93">
        <v>41080</v>
      </c>
      <c r="I103" s="89">
        <v>375579.79</v>
      </c>
      <c r="J103" s="94">
        <f t="shared" si="1"/>
        <v>1.5342465753424657</v>
      </c>
      <c r="K103" s="89">
        <f>ROUND($I103*(1+Preferred_Return_Rate)^tblPref[[#This Row],[Pref Period in Years]]-I103,2)</f>
        <v>23294.05</v>
      </c>
    </row>
    <row r="104" spans="1:11" x14ac:dyDescent="0.25">
      <c r="A104" s="88" t="s">
        <v>99</v>
      </c>
      <c r="C104" s="88" t="s">
        <v>75</v>
      </c>
      <c r="D104" s="90" t="s">
        <v>4</v>
      </c>
      <c r="E104" s="98" t="s">
        <v>75</v>
      </c>
      <c r="G104" s="90">
        <v>8391</v>
      </c>
      <c r="H104" s="93">
        <v>41141</v>
      </c>
      <c r="I104" s="89">
        <v>8433.73</v>
      </c>
      <c r="J104" s="94">
        <f t="shared" si="1"/>
        <v>1.3671232876712329</v>
      </c>
      <c r="K104" s="89">
        <f>ROUND($I104*(1+Preferred_Return_Rate)^tblPref[[#This Row],[Pref Period in Years]]-I104,2)</f>
        <v>464.56</v>
      </c>
    </row>
    <row r="105" spans="1:11" x14ac:dyDescent="0.25">
      <c r="A105" s="88" t="s">
        <v>99</v>
      </c>
      <c r="C105" s="88" t="s">
        <v>75</v>
      </c>
      <c r="D105" s="90" t="s">
        <v>4</v>
      </c>
      <c r="E105" s="98" t="s">
        <v>75</v>
      </c>
      <c r="G105" s="90">
        <v>8391</v>
      </c>
      <c r="H105" s="93">
        <v>41246</v>
      </c>
      <c r="I105" s="89">
        <v>2495113.3199999998</v>
      </c>
      <c r="J105" s="94">
        <f t="shared" si="1"/>
        <v>1.0794520547945206</v>
      </c>
      <c r="K105" s="89">
        <f>ROUND($I105*(1+Preferred_Return_Rate)^tblPref[[#This Row],[Pref Period in Years]]-I105,2)</f>
        <v>107903.34</v>
      </c>
    </row>
    <row r="106" spans="1:11" x14ac:dyDescent="0.25">
      <c r="A106" s="88" t="s">
        <v>99</v>
      </c>
      <c r="C106" s="88" t="s">
        <v>75</v>
      </c>
      <c r="D106" s="90" t="s">
        <v>4</v>
      </c>
      <c r="E106" s="98" t="s">
        <v>75</v>
      </c>
      <c r="G106" s="90">
        <v>8391</v>
      </c>
      <c r="H106" s="93">
        <v>41275</v>
      </c>
      <c r="I106" s="89">
        <v>254028.12</v>
      </c>
      <c r="J106" s="94">
        <f t="shared" si="1"/>
        <v>1</v>
      </c>
      <c r="K106" s="89">
        <f>ROUND($I106*(1+Preferred_Return_Rate)^tblPref[[#This Row],[Pref Period in Years]]-I106,2)</f>
        <v>10161.120000000001</v>
      </c>
    </row>
    <row r="107" spans="1:11" x14ac:dyDescent="0.25">
      <c r="A107" s="88" t="s">
        <v>99</v>
      </c>
      <c r="C107" s="88" t="s">
        <v>75</v>
      </c>
      <c r="D107" s="90" t="s">
        <v>4</v>
      </c>
      <c r="E107" s="98" t="s">
        <v>75</v>
      </c>
      <c r="G107" s="90">
        <v>8391</v>
      </c>
      <c r="H107" s="93">
        <v>41316</v>
      </c>
      <c r="I107" s="89">
        <v>524861.71</v>
      </c>
      <c r="J107" s="94">
        <f t="shared" si="1"/>
        <v>0.88767123287671235</v>
      </c>
      <c r="K107" s="89">
        <f>ROUND($I107*(1+Preferred_Return_Rate)^tblPref[[#This Row],[Pref Period in Years]]-I107,2)</f>
        <v>18594.93</v>
      </c>
    </row>
    <row r="108" spans="1:11" x14ac:dyDescent="0.25">
      <c r="A108" s="88" t="s">
        <v>99</v>
      </c>
      <c r="C108" s="88" t="s">
        <v>76</v>
      </c>
      <c r="D108" s="90" t="s">
        <v>4</v>
      </c>
      <c r="E108" s="98" t="s">
        <v>76</v>
      </c>
      <c r="G108" s="90">
        <v>8390</v>
      </c>
      <c r="H108" s="93">
        <v>40544</v>
      </c>
      <c r="I108" s="89">
        <v>1253.68</v>
      </c>
      <c r="J108" s="94">
        <f t="shared" si="1"/>
        <v>3.0027397260273974</v>
      </c>
      <c r="K108" s="89">
        <f>ROUND($I108*(1+Preferred_Return_Rate)^tblPref[[#This Row],[Pref Period in Years]]-I108,2)</f>
        <v>156.69</v>
      </c>
    </row>
    <row r="109" spans="1:11" x14ac:dyDescent="0.25">
      <c r="A109" s="88" t="s">
        <v>99</v>
      </c>
      <c r="C109" s="88" t="s">
        <v>76</v>
      </c>
      <c r="D109" s="90" t="s">
        <v>4</v>
      </c>
      <c r="E109" s="98" t="s">
        <v>76</v>
      </c>
      <c r="G109" s="90">
        <v>8390</v>
      </c>
      <c r="H109" s="93">
        <v>40564</v>
      </c>
      <c r="I109" s="89">
        <v>15161.18</v>
      </c>
      <c r="J109" s="94">
        <f t="shared" si="1"/>
        <v>2.9479452054794519</v>
      </c>
      <c r="K109" s="89">
        <f>ROUND($I109*(1+Preferred_Return_Rate)^tblPref[[#This Row],[Pref Period in Years]]-I109,2)</f>
        <v>1858.3</v>
      </c>
    </row>
    <row r="110" spans="1:11" x14ac:dyDescent="0.25">
      <c r="A110" s="88" t="s">
        <v>99</v>
      </c>
      <c r="C110" s="88" t="s">
        <v>76</v>
      </c>
      <c r="D110" s="90" t="s">
        <v>4</v>
      </c>
      <c r="E110" s="98" t="s">
        <v>76</v>
      </c>
      <c r="G110" s="90">
        <v>8390</v>
      </c>
      <c r="H110" s="93">
        <v>40585</v>
      </c>
      <c r="I110" s="89">
        <v>6825.6</v>
      </c>
      <c r="J110" s="94">
        <f t="shared" si="1"/>
        <v>2.8904109589041096</v>
      </c>
      <c r="K110" s="89">
        <f>ROUND($I110*(1+Preferred_Return_Rate)^tblPref[[#This Row],[Pref Period in Years]]-I110,2)</f>
        <v>819.34</v>
      </c>
    </row>
    <row r="111" spans="1:11" x14ac:dyDescent="0.25">
      <c r="A111" s="88" t="s">
        <v>99</v>
      </c>
      <c r="C111" s="88" t="s">
        <v>76</v>
      </c>
      <c r="D111" s="90" t="s">
        <v>4</v>
      </c>
      <c r="E111" s="98" t="s">
        <v>76</v>
      </c>
      <c r="G111" s="90">
        <v>8390</v>
      </c>
      <c r="H111" s="93">
        <v>40589</v>
      </c>
      <c r="I111" s="89">
        <v>16715.75</v>
      </c>
      <c r="J111" s="94">
        <f t="shared" si="1"/>
        <v>2.8794520547945206</v>
      </c>
      <c r="K111" s="89">
        <f>ROUND($I111*(1+Preferred_Return_Rate)^tblPref[[#This Row],[Pref Period in Years]]-I111,2)</f>
        <v>1998.51</v>
      </c>
    </row>
    <row r="112" spans="1:11" x14ac:dyDescent="0.25">
      <c r="A112" s="88" t="s">
        <v>99</v>
      </c>
      <c r="C112" s="88" t="s">
        <v>76</v>
      </c>
      <c r="D112" s="90" t="s">
        <v>4</v>
      </c>
      <c r="E112" s="98" t="s">
        <v>76</v>
      </c>
      <c r="G112" s="90">
        <v>8390</v>
      </c>
      <c r="H112" s="93">
        <v>40662</v>
      </c>
      <c r="I112" s="89">
        <v>14757.22</v>
      </c>
      <c r="J112" s="94">
        <f t="shared" si="1"/>
        <v>2.6794520547945204</v>
      </c>
      <c r="K112" s="89">
        <f>ROUND($I112*(1+Preferred_Return_Rate)^tblPref[[#This Row],[Pref Period in Years]]-I112,2)</f>
        <v>1635.26</v>
      </c>
    </row>
    <row r="113" spans="1:11" x14ac:dyDescent="0.25">
      <c r="A113" s="88" t="s">
        <v>99</v>
      </c>
      <c r="C113" s="88" t="s">
        <v>76</v>
      </c>
      <c r="D113" s="90" t="s">
        <v>4</v>
      </c>
      <c r="E113" s="98" t="s">
        <v>76</v>
      </c>
      <c r="G113" s="90">
        <v>8390</v>
      </c>
      <c r="H113" s="93">
        <v>40745</v>
      </c>
      <c r="I113" s="89">
        <v>27859.58</v>
      </c>
      <c r="J113" s="94">
        <f t="shared" si="1"/>
        <v>2.452054794520548</v>
      </c>
      <c r="K113" s="89">
        <f>ROUND($I113*(1+Preferred_Return_Rate)^tblPref[[#This Row],[Pref Period in Years]]-I113,2)</f>
        <v>2812.36</v>
      </c>
    </row>
    <row r="114" spans="1:11" x14ac:dyDescent="0.25">
      <c r="A114" s="88" t="s">
        <v>99</v>
      </c>
      <c r="C114" s="88" t="s">
        <v>76</v>
      </c>
      <c r="D114" s="90" t="s">
        <v>4</v>
      </c>
      <c r="E114" s="98" t="s">
        <v>76</v>
      </c>
      <c r="G114" s="90">
        <v>8390</v>
      </c>
      <c r="H114" s="93">
        <v>40792</v>
      </c>
      <c r="I114" s="89">
        <v>6964.89</v>
      </c>
      <c r="J114" s="94">
        <f t="shared" si="1"/>
        <v>2.3232876712328765</v>
      </c>
      <c r="K114" s="89">
        <f>ROUND($I114*(1+Preferred_Return_Rate)^tblPref[[#This Row],[Pref Period in Years]]-I114,2)</f>
        <v>664.46</v>
      </c>
    </row>
    <row r="115" spans="1:11" x14ac:dyDescent="0.25">
      <c r="A115" s="88" t="s">
        <v>99</v>
      </c>
      <c r="C115" s="88" t="s">
        <v>76</v>
      </c>
      <c r="D115" s="90" t="s">
        <v>4</v>
      </c>
      <c r="E115" s="98" t="s">
        <v>76</v>
      </c>
      <c r="G115" s="90">
        <v>8390</v>
      </c>
      <c r="H115" s="93">
        <v>40857</v>
      </c>
      <c r="I115" s="89">
        <v>2228.77</v>
      </c>
      <c r="J115" s="94">
        <f t="shared" si="1"/>
        <v>2.1452054794520548</v>
      </c>
      <c r="K115" s="89">
        <f>ROUND($I115*(1+Preferred_Return_Rate)^tblPref[[#This Row],[Pref Period in Years]]-I115,2)</f>
        <v>195.64</v>
      </c>
    </row>
    <row r="116" spans="1:11" x14ac:dyDescent="0.25">
      <c r="A116" s="88" t="s">
        <v>99</v>
      </c>
      <c r="C116" s="88" t="s">
        <v>76</v>
      </c>
      <c r="D116" s="90" t="s">
        <v>4</v>
      </c>
      <c r="E116" s="98" t="s">
        <v>76</v>
      </c>
      <c r="G116" s="90">
        <v>8390</v>
      </c>
      <c r="H116" s="93">
        <v>40909</v>
      </c>
      <c r="I116" s="89">
        <v>835.79</v>
      </c>
      <c r="J116" s="94">
        <f t="shared" si="1"/>
        <v>2.0027397260273974</v>
      </c>
      <c r="K116" s="89">
        <f>ROUND($I116*(1+Preferred_Return_Rate)^tblPref[[#This Row],[Pref Period in Years]]-I116,2)</f>
        <v>68.3</v>
      </c>
    </row>
    <row r="117" spans="1:11" x14ac:dyDescent="0.25">
      <c r="A117" s="88" t="s">
        <v>99</v>
      </c>
      <c r="C117" s="88" t="s">
        <v>76</v>
      </c>
      <c r="D117" s="90" t="s">
        <v>4</v>
      </c>
      <c r="E117" s="98" t="s">
        <v>76</v>
      </c>
      <c r="G117" s="90">
        <v>8390</v>
      </c>
      <c r="H117" s="93">
        <v>40940</v>
      </c>
      <c r="I117" s="89">
        <v>10308.049999999999</v>
      </c>
      <c r="J117" s="94">
        <f t="shared" si="1"/>
        <v>1.9178082191780821</v>
      </c>
      <c r="K117" s="89">
        <f>ROUND($I117*(1+Preferred_Return_Rate)^tblPref[[#This Row],[Pref Period in Years]]-I117,2)</f>
        <v>805.25</v>
      </c>
    </row>
    <row r="118" spans="1:11" x14ac:dyDescent="0.25">
      <c r="A118" s="88" t="s">
        <v>99</v>
      </c>
      <c r="C118" s="88" t="s">
        <v>76</v>
      </c>
      <c r="D118" s="90" t="s">
        <v>4</v>
      </c>
      <c r="E118" s="98" t="s">
        <v>76</v>
      </c>
      <c r="G118" s="90">
        <v>8390</v>
      </c>
      <c r="H118" s="93">
        <v>41080</v>
      </c>
      <c r="I118" s="89">
        <v>2089.4699999999998</v>
      </c>
      <c r="J118" s="94">
        <f t="shared" si="1"/>
        <v>1.5342465753424657</v>
      </c>
      <c r="K118" s="89">
        <f>ROUND($I118*(1+Preferred_Return_Rate)^tblPref[[#This Row],[Pref Period in Years]]-I118,2)</f>
        <v>129.59</v>
      </c>
    </row>
    <row r="119" spans="1:11" x14ac:dyDescent="0.25">
      <c r="A119" s="88" t="s">
        <v>99</v>
      </c>
      <c r="C119" s="88" t="s">
        <v>76</v>
      </c>
      <c r="D119" s="90" t="s">
        <v>4</v>
      </c>
      <c r="E119" s="98" t="s">
        <v>76</v>
      </c>
      <c r="G119" s="90">
        <v>8390</v>
      </c>
      <c r="H119" s="93">
        <v>41246</v>
      </c>
      <c r="I119" s="89">
        <v>13651.19</v>
      </c>
      <c r="J119" s="94">
        <f t="shared" si="1"/>
        <v>1.0794520547945206</v>
      </c>
      <c r="K119" s="89">
        <f>ROUND($I119*(1+Preferred_Return_Rate)^tblPref[[#This Row],[Pref Period in Years]]-I119,2)</f>
        <v>590.36</v>
      </c>
    </row>
    <row r="120" spans="1:11" x14ac:dyDescent="0.25">
      <c r="A120" s="88" t="s">
        <v>99</v>
      </c>
      <c r="C120" s="88" t="s">
        <v>76</v>
      </c>
      <c r="D120" s="90" t="s">
        <v>4</v>
      </c>
      <c r="E120" s="98" t="s">
        <v>76</v>
      </c>
      <c r="G120" s="90">
        <v>8390</v>
      </c>
      <c r="H120" s="93">
        <v>41275</v>
      </c>
      <c r="I120" s="89">
        <v>1392.98</v>
      </c>
      <c r="J120" s="94">
        <f t="shared" si="1"/>
        <v>1</v>
      </c>
      <c r="K120" s="89">
        <f>ROUND($I120*(1+Preferred_Return_Rate)^tblPref[[#This Row],[Pref Period in Years]]-I120,2)</f>
        <v>55.72</v>
      </c>
    </row>
    <row r="121" spans="1:11" x14ac:dyDescent="0.25">
      <c r="A121" s="88" t="s">
        <v>99</v>
      </c>
      <c r="C121" s="88" t="s">
        <v>76</v>
      </c>
      <c r="D121" s="90" t="s">
        <v>4</v>
      </c>
      <c r="E121" s="98" t="s">
        <v>76</v>
      </c>
      <c r="G121" s="90">
        <v>8390</v>
      </c>
      <c r="H121" s="93">
        <v>41316</v>
      </c>
      <c r="I121" s="89">
        <v>2758.1</v>
      </c>
      <c r="J121" s="94">
        <f t="shared" si="1"/>
        <v>0.88767123287671235</v>
      </c>
      <c r="K121" s="89">
        <f>ROUND($I121*(1+Preferred_Return_Rate)^tblPref[[#This Row],[Pref Period in Years]]-I121,2)</f>
        <v>97.71</v>
      </c>
    </row>
    <row r="122" spans="1:11" x14ac:dyDescent="0.25">
      <c r="A122" s="88" t="s">
        <v>99</v>
      </c>
      <c r="C122" s="88" t="s">
        <v>78</v>
      </c>
      <c r="D122" s="90" t="s">
        <v>4</v>
      </c>
      <c r="E122" s="98" t="s">
        <v>78</v>
      </c>
      <c r="G122" s="90">
        <v>8381</v>
      </c>
      <c r="H122" s="93">
        <v>40544</v>
      </c>
      <c r="I122" s="89">
        <v>574.6</v>
      </c>
      <c r="J122" s="94">
        <f t="shared" si="1"/>
        <v>3.0027397260273974</v>
      </c>
      <c r="K122" s="89">
        <f>ROUND($I122*(1+Preferred_Return_Rate)^tblPref[[#This Row],[Pref Period in Years]]-I122,2)</f>
        <v>71.819999999999993</v>
      </c>
    </row>
    <row r="123" spans="1:11" x14ac:dyDescent="0.25">
      <c r="A123" s="88" t="s">
        <v>99</v>
      </c>
      <c r="C123" s="88" t="s">
        <v>78</v>
      </c>
      <c r="D123" s="90" t="s">
        <v>4</v>
      </c>
      <c r="E123" s="98" t="s">
        <v>78</v>
      </c>
      <c r="G123" s="90">
        <v>8381</v>
      </c>
      <c r="H123" s="93">
        <v>40564</v>
      </c>
      <c r="I123" s="89">
        <v>6948.89</v>
      </c>
      <c r="J123" s="94">
        <f t="shared" si="1"/>
        <v>2.9479452054794519</v>
      </c>
      <c r="K123" s="89">
        <f>ROUND($I123*(1+Preferred_Return_Rate)^tblPref[[#This Row],[Pref Period in Years]]-I123,2)</f>
        <v>851.72</v>
      </c>
    </row>
    <row r="124" spans="1:11" x14ac:dyDescent="0.25">
      <c r="A124" s="88" t="s">
        <v>99</v>
      </c>
      <c r="C124" s="88" t="s">
        <v>78</v>
      </c>
      <c r="D124" s="90" t="s">
        <v>4</v>
      </c>
      <c r="E124" s="98" t="s">
        <v>78</v>
      </c>
      <c r="G124" s="90">
        <v>8381</v>
      </c>
      <c r="H124" s="93">
        <v>40585</v>
      </c>
      <c r="I124" s="89">
        <v>3128.4</v>
      </c>
      <c r="J124" s="94">
        <f t="shared" si="1"/>
        <v>2.8904109589041096</v>
      </c>
      <c r="K124" s="89">
        <f>ROUND($I124*(1+Preferred_Return_Rate)^tblPref[[#This Row],[Pref Period in Years]]-I124,2)</f>
        <v>375.53</v>
      </c>
    </row>
    <row r="125" spans="1:11" x14ac:dyDescent="0.25">
      <c r="A125" s="88" t="s">
        <v>99</v>
      </c>
      <c r="C125" s="88" t="s">
        <v>78</v>
      </c>
      <c r="D125" s="90" t="s">
        <v>4</v>
      </c>
      <c r="E125" s="98" t="s">
        <v>78</v>
      </c>
      <c r="G125" s="90">
        <v>8381</v>
      </c>
      <c r="H125" s="93">
        <v>40589</v>
      </c>
      <c r="I125" s="89">
        <v>7661.4</v>
      </c>
      <c r="J125" s="94">
        <f t="shared" si="1"/>
        <v>2.8794520547945206</v>
      </c>
      <c r="K125" s="89">
        <f>ROUND($I125*(1+Preferred_Return_Rate)^tblPref[[#This Row],[Pref Period in Years]]-I125,2)</f>
        <v>915.98</v>
      </c>
    </row>
    <row r="126" spans="1:11" x14ac:dyDescent="0.25">
      <c r="A126" s="88" t="s">
        <v>99</v>
      </c>
      <c r="C126" s="88" t="s">
        <v>78</v>
      </c>
      <c r="D126" s="90" t="s">
        <v>4</v>
      </c>
      <c r="E126" s="98" t="s">
        <v>78</v>
      </c>
      <c r="G126" s="90">
        <v>8381</v>
      </c>
      <c r="H126" s="93">
        <v>40662</v>
      </c>
      <c r="I126" s="89">
        <v>6763.74</v>
      </c>
      <c r="J126" s="94">
        <f t="shared" si="1"/>
        <v>2.6794520547945204</v>
      </c>
      <c r="K126" s="89">
        <f>ROUND($I126*(1+Preferred_Return_Rate)^tblPref[[#This Row],[Pref Period in Years]]-I126,2)</f>
        <v>749.49</v>
      </c>
    </row>
    <row r="127" spans="1:11" x14ac:dyDescent="0.25">
      <c r="A127" s="88" t="s">
        <v>99</v>
      </c>
      <c r="C127" s="88" t="s">
        <v>78</v>
      </c>
      <c r="D127" s="90" t="s">
        <v>4</v>
      </c>
      <c r="E127" s="98" t="s">
        <v>78</v>
      </c>
      <c r="G127" s="90">
        <v>8381</v>
      </c>
      <c r="H127" s="93">
        <v>40745</v>
      </c>
      <c r="I127" s="89">
        <v>12769</v>
      </c>
      <c r="J127" s="94">
        <f t="shared" si="1"/>
        <v>2.452054794520548</v>
      </c>
      <c r="K127" s="89">
        <f>ROUND($I127*(1+Preferred_Return_Rate)^tblPref[[#This Row],[Pref Period in Years]]-I127,2)</f>
        <v>1289</v>
      </c>
    </row>
    <row r="128" spans="1:11" x14ac:dyDescent="0.25">
      <c r="A128" s="88" t="s">
        <v>99</v>
      </c>
      <c r="C128" s="88" t="s">
        <v>78</v>
      </c>
      <c r="D128" s="90" t="s">
        <v>4</v>
      </c>
      <c r="E128" s="98" t="s">
        <v>78</v>
      </c>
      <c r="G128" s="90">
        <v>8381</v>
      </c>
      <c r="H128" s="93">
        <v>40792</v>
      </c>
      <c r="I128" s="89">
        <v>3192.25</v>
      </c>
      <c r="J128" s="94">
        <f t="shared" si="1"/>
        <v>2.3232876712328765</v>
      </c>
      <c r="K128" s="89">
        <f>ROUND($I128*(1+Preferred_Return_Rate)^tblPref[[#This Row],[Pref Period in Years]]-I128,2)</f>
        <v>304.55</v>
      </c>
    </row>
    <row r="129" spans="1:11" x14ac:dyDescent="0.25">
      <c r="A129" s="88" t="s">
        <v>99</v>
      </c>
      <c r="C129" s="88" t="s">
        <v>78</v>
      </c>
      <c r="D129" s="90" t="s">
        <v>4</v>
      </c>
      <c r="E129" s="98" t="s">
        <v>78</v>
      </c>
      <c r="G129" s="90">
        <v>8381</v>
      </c>
      <c r="H129" s="93">
        <v>40857</v>
      </c>
      <c r="I129" s="89">
        <v>1021.52</v>
      </c>
      <c r="J129" s="94">
        <f t="shared" si="1"/>
        <v>2.1452054794520548</v>
      </c>
      <c r="K129" s="89">
        <f>ROUND($I129*(1+Preferred_Return_Rate)^tblPref[[#This Row],[Pref Period in Years]]-I129,2)</f>
        <v>89.67</v>
      </c>
    </row>
    <row r="130" spans="1:11" x14ac:dyDescent="0.25">
      <c r="A130" s="88" t="s">
        <v>99</v>
      </c>
      <c r="C130" s="88" t="s">
        <v>78</v>
      </c>
      <c r="D130" s="90" t="s">
        <v>4</v>
      </c>
      <c r="E130" s="98" t="s">
        <v>78</v>
      </c>
      <c r="G130" s="90">
        <v>8381</v>
      </c>
      <c r="H130" s="93">
        <v>40909</v>
      </c>
      <c r="I130" s="89">
        <v>383.07</v>
      </c>
      <c r="J130" s="94">
        <f t="shared" si="1"/>
        <v>2.0027397260273974</v>
      </c>
      <c r="K130" s="89">
        <f>ROUND($I130*(1+Preferred_Return_Rate)^tblPref[[#This Row],[Pref Period in Years]]-I130,2)</f>
        <v>31.3</v>
      </c>
    </row>
    <row r="131" spans="1:11" x14ac:dyDescent="0.25">
      <c r="A131" s="88" t="s">
        <v>99</v>
      </c>
      <c r="C131" s="88" t="s">
        <v>78</v>
      </c>
      <c r="D131" s="90" t="s">
        <v>4</v>
      </c>
      <c r="E131" s="98" t="s">
        <v>78</v>
      </c>
      <c r="G131" s="90">
        <v>8381</v>
      </c>
      <c r="H131" s="93">
        <v>40940</v>
      </c>
      <c r="I131" s="89">
        <v>4724.53</v>
      </c>
      <c r="J131" s="94">
        <f t="shared" si="1"/>
        <v>1.9178082191780821</v>
      </c>
      <c r="K131" s="89">
        <f>ROUND($I131*(1+Preferred_Return_Rate)^tblPref[[#This Row],[Pref Period in Years]]-I131,2)</f>
        <v>369.08</v>
      </c>
    </row>
    <row r="132" spans="1:11" x14ac:dyDescent="0.25">
      <c r="A132" s="88" t="s">
        <v>99</v>
      </c>
      <c r="C132" s="88" t="s">
        <v>78</v>
      </c>
      <c r="D132" s="90" t="s">
        <v>4</v>
      </c>
      <c r="E132" s="98" t="s">
        <v>78</v>
      </c>
      <c r="G132" s="90">
        <v>8381</v>
      </c>
      <c r="H132" s="93">
        <v>41080</v>
      </c>
      <c r="I132" s="89">
        <v>957.67</v>
      </c>
      <c r="J132" s="94">
        <f t="shared" si="1"/>
        <v>1.5342465753424657</v>
      </c>
      <c r="K132" s="89">
        <f>ROUND($I132*(1+Preferred_Return_Rate)^tblPref[[#This Row],[Pref Period in Years]]-I132,2)</f>
        <v>59.4</v>
      </c>
    </row>
    <row r="133" spans="1:11" x14ac:dyDescent="0.25">
      <c r="A133" s="88" t="s">
        <v>99</v>
      </c>
      <c r="C133" s="88" t="s">
        <v>78</v>
      </c>
      <c r="D133" s="90" t="s">
        <v>4</v>
      </c>
      <c r="E133" s="98" t="s">
        <v>78</v>
      </c>
      <c r="G133" s="90">
        <v>8381</v>
      </c>
      <c r="H133" s="93">
        <v>41246</v>
      </c>
      <c r="I133" s="89">
        <v>6256.8</v>
      </c>
      <c r="J133" s="94">
        <f t="shared" si="1"/>
        <v>1.0794520547945206</v>
      </c>
      <c r="K133" s="89">
        <f>ROUND($I133*(1+Preferred_Return_Rate)^tblPref[[#This Row],[Pref Period in Years]]-I133,2)</f>
        <v>270.58</v>
      </c>
    </row>
    <row r="134" spans="1:11" x14ac:dyDescent="0.25">
      <c r="A134" s="88" t="s">
        <v>99</v>
      </c>
      <c r="C134" s="88" t="s">
        <v>78</v>
      </c>
      <c r="D134" s="90" t="s">
        <v>4</v>
      </c>
      <c r="E134" s="98" t="s">
        <v>78</v>
      </c>
      <c r="G134" s="90">
        <v>8381</v>
      </c>
      <c r="H134" s="93">
        <v>41275</v>
      </c>
      <c r="I134" s="89">
        <v>638.45000000000005</v>
      </c>
      <c r="J134" s="94">
        <f t="shared" ref="J134:J197" si="2">((Period_End_Date-$H134+1)/365)</f>
        <v>1</v>
      </c>
      <c r="K134" s="89">
        <f>ROUND($I134*(1+Preferred_Return_Rate)^tblPref[[#This Row],[Pref Period in Years]]-I134,2)</f>
        <v>25.54</v>
      </c>
    </row>
    <row r="135" spans="1:11" x14ac:dyDescent="0.25">
      <c r="A135" s="88" t="s">
        <v>99</v>
      </c>
      <c r="C135" s="88" t="s">
        <v>78</v>
      </c>
      <c r="D135" s="90" t="s">
        <v>4</v>
      </c>
      <c r="E135" s="98" t="s">
        <v>78</v>
      </c>
      <c r="G135" s="90">
        <v>8381</v>
      </c>
      <c r="H135" s="93">
        <v>41316</v>
      </c>
      <c r="I135" s="89">
        <v>1264.1300000000001</v>
      </c>
      <c r="J135" s="94">
        <f t="shared" si="2"/>
        <v>0.88767123287671235</v>
      </c>
      <c r="K135" s="89">
        <f>ROUND($I135*(1+Preferred_Return_Rate)^tblPref[[#This Row],[Pref Period in Years]]-I135,2)</f>
        <v>44.79</v>
      </c>
    </row>
    <row r="136" spans="1:11" x14ac:dyDescent="0.25">
      <c r="A136" s="88" t="s">
        <v>99</v>
      </c>
      <c r="C136" s="88" t="s">
        <v>79</v>
      </c>
      <c r="D136" s="90" t="s">
        <v>4</v>
      </c>
      <c r="E136" s="98" t="s">
        <v>79</v>
      </c>
      <c r="G136" s="90">
        <v>8370</v>
      </c>
      <c r="H136" s="93">
        <v>40544</v>
      </c>
      <c r="I136" s="89">
        <v>3914.92</v>
      </c>
      <c r="J136" s="94">
        <f t="shared" si="2"/>
        <v>3.0027397260273974</v>
      </c>
      <c r="K136" s="89">
        <f>ROUND($I136*(1+Preferred_Return_Rate)^tblPref[[#This Row],[Pref Period in Years]]-I136,2)</f>
        <v>489.31</v>
      </c>
    </row>
    <row r="137" spans="1:11" x14ac:dyDescent="0.25">
      <c r="A137" s="88" t="s">
        <v>99</v>
      </c>
      <c r="C137" s="88" t="s">
        <v>79</v>
      </c>
      <c r="D137" s="90" t="s">
        <v>4</v>
      </c>
      <c r="E137" s="98" t="s">
        <v>79</v>
      </c>
      <c r="G137" s="90">
        <v>8370</v>
      </c>
      <c r="H137" s="93">
        <v>40563</v>
      </c>
      <c r="I137" s="89">
        <v>43373.49</v>
      </c>
      <c r="J137" s="94">
        <f t="shared" si="2"/>
        <v>2.9506849315068493</v>
      </c>
      <c r="K137" s="89">
        <f>ROUND($I137*(1+Preferred_Return_Rate)^tblPref[[#This Row],[Pref Period in Years]]-I137,2)</f>
        <v>5321.51</v>
      </c>
    </row>
    <row r="138" spans="1:11" x14ac:dyDescent="0.25">
      <c r="A138" s="88" t="s">
        <v>99</v>
      </c>
      <c r="C138" s="88" t="s">
        <v>79</v>
      </c>
      <c r="D138" s="90" t="s">
        <v>4</v>
      </c>
      <c r="E138" s="98" t="s">
        <v>79</v>
      </c>
      <c r="G138" s="90">
        <v>8370</v>
      </c>
      <c r="H138" s="93">
        <v>40661</v>
      </c>
      <c r="I138" s="89">
        <v>28915.66</v>
      </c>
      <c r="J138" s="94">
        <f t="shared" si="2"/>
        <v>2.6821917808219178</v>
      </c>
      <c r="K138" s="89">
        <f>ROUND($I138*(1+Preferred_Return_Rate)^tblPref[[#This Row],[Pref Period in Years]]-I138,2)</f>
        <v>3207.61</v>
      </c>
    </row>
    <row r="139" spans="1:11" x14ac:dyDescent="0.25">
      <c r="A139" s="88" t="s">
        <v>99</v>
      </c>
      <c r="C139" s="88" t="s">
        <v>79</v>
      </c>
      <c r="D139" s="90" t="s">
        <v>4</v>
      </c>
      <c r="E139" s="98" t="s">
        <v>79</v>
      </c>
      <c r="G139" s="90">
        <v>8370</v>
      </c>
      <c r="H139" s="93">
        <v>40745</v>
      </c>
      <c r="I139" s="89">
        <v>137831.31</v>
      </c>
      <c r="J139" s="94">
        <f t="shared" si="2"/>
        <v>2.452054794520548</v>
      </c>
      <c r="K139" s="89">
        <f>ROUND($I139*(1+Preferred_Return_Rate)^tblPref[[#This Row],[Pref Period in Years]]-I139,2)</f>
        <v>13913.75</v>
      </c>
    </row>
    <row r="140" spans="1:11" x14ac:dyDescent="0.25">
      <c r="A140" s="88" t="s">
        <v>99</v>
      </c>
      <c r="C140" s="88" t="s">
        <v>79</v>
      </c>
      <c r="D140" s="90" t="s">
        <v>4</v>
      </c>
      <c r="E140" s="98" t="s">
        <v>79</v>
      </c>
      <c r="G140" s="90">
        <v>8370</v>
      </c>
      <c r="H140" s="93">
        <v>40792</v>
      </c>
      <c r="I140" s="89">
        <v>24096.39</v>
      </c>
      <c r="J140" s="94">
        <f t="shared" si="2"/>
        <v>2.3232876712328765</v>
      </c>
      <c r="K140" s="89">
        <f>ROUND($I140*(1+Preferred_Return_Rate)^tblPref[[#This Row],[Pref Period in Years]]-I140,2)</f>
        <v>2298.83</v>
      </c>
    </row>
    <row r="141" spans="1:11" x14ac:dyDescent="0.25">
      <c r="A141" s="88" t="s">
        <v>99</v>
      </c>
      <c r="C141" s="88" t="s">
        <v>79</v>
      </c>
      <c r="D141" s="90" t="s">
        <v>4</v>
      </c>
      <c r="E141" s="98" t="s">
        <v>79</v>
      </c>
      <c r="G141" s="90">
        <v>8370</v>
      </c>
      <c r="H141" s="93">
        <v>40857</v>
      </c>
      <c r="I141" s="89">
        <v>14457.83</v>
      </c>
      <c r="J141" s="94">
        <f t="shared" si="2"/>
        <v>2.1452054794520548</v>
      </c>
      <c r="K141" s="89">
        <f>ROUND($I141*(1+Preferred_Return_Rate)^tblPref[[#This Row],[Pref Period in Years]]-I141,2)</f>
        <v>1269.07</v>
      </c>
    </row>
    <row r="142" spans="1:11" x14ac:dyDescent="0.25">
      <c r="A142" s="88" t="s">
        <v>99</v>
      </c>
      <c r="C142" s="88" t="s">
        <v>79</v>
      </c>
      <c r="D142" s="90" t="s">
        <v>4</v>
      </c>
      <c r="E142" s="98" t="s">
        <v>79</v>
      </c>
      <c r="G142" s="90">
        <v>8370</v>
      </c>
      <c r="H142" s="93">
        <v>40909</v>
      </c>
      <c r="I142" s="89">
        <v>3421.09</v>
      </c>
      <c r="J142" s="94">
        <f t="shared" si="2"/>
        <v>2.0027397260273974</v>
      </c>
      <c r="K142" s="89">
        <f>ROUND($I142*(1+Preferred_Return_Rate)^tblPref[[#This Row],[Pref Period in Years]]-I142,2)</f>
        <v>279.56</v>
      </c>
    </row>
    <row r="143" spans="1:11" x14ac:dyDescent="0.25">
      <c r="A143" s="88" t="s">
        <v>99</v>
      </c>
      <c r="C143" s="88" t="s">
        <v>79</v>
      </c>
      <c r="D143" s="90" t="s">
        <v>4</v>
      </c>
      <c r="E143" s="98" t="s">
        <v>79</v>
      </c>
      <c r="G143" s="90">
        <v>8370</v>
      </c>
      <c r="H143" s="93">
        <v>40940</v>
      </c>
      <c r="I143" s="89">
        <v>35662.65</v>
      </c>
      <c r="J143" s="94">
        <f t="shared" si="2"/>
        <v>1.9178082191780821</v>
      </c>
      <c r="K143" s="89">
        <f>ROUND($I143*(1+Preferred_Return_Rate)^tblPref[[#This Row],[Pref Period in Years]]-I143,2)</f>
        <v>2785.93</v>
      </c>
    </row>
    <row r="144" spans="1:11" x14ac:dyDescent="0.25">
      <c r="A144" s="88" t="s">
        <v>99</v>
      </c>
      <c r="C144" s="88" t="s">
        <v>79</v>
      </c>
      <c r="D144" s="90" t="s">
        <v>4</v>
      </c>
      <c r="E144" s="98" t="s">
        <v>79</v>
      </c>
      <c r="G144" s="90">
        <v>8370</v>
      </c>
      <c r="H144" s="93">
        <v>41047</v>
      </c>
      <c r="I144" s="89">
        <v>57831.33</v>
      </c>
      <c r="J144" s="94">
        <f t="shared" si="2"/>
        <v>1.6246575342465754</v>
      </c>
      <c r="K144" s="89">
        <f>ROUND($I144*(1+Preferred_Return_Rate)^tblPref[[#This Row],[Pref Period in Years]]-I144,2)</f>
        <v>3804.96</v>
      </c>
    </row>
    <row r="145" spans="1:11" x14ac:dyDescent="0.25">
      <c r="A145" s="88" t="s">
        <v>99</v>
      </c>
      <c r="C145" s="88" t="s">
        <v>79</v>
      </c>
      <c r="D145" s="90" t="s">
        <v>4</v>
      </c>
      <c r="E145" s="98" t="s">
        <v>79</v>
      </c>
      <c r="G145" s="90">
        <v>8370</v>
      </c>
      <c r="H145" s="93">
        <v>41141</v>
      </c>
      <c r="I145" s="89">
        <v>9638.5499999999993</v>
      </c>
      <c r="J145" s="94">
        <f t="shared" si="2"/>
        <v>1.3671232876712329</v>
      </c>
      <c r="K145" s="89">
        <f>ROUND($I145*(1+Preferred_Return_Rate)^tblPref[[#This Row],[Pref Period in Years]]-I145,2)</f>
        <v>530.91999999999996</v>
      </c>
    </row>
    <row r="146" spans="1:11" x14ac:dyDescent="0.25">
      <c r="A146" s="88" t="s">
        <v>99</v>
      </c>
      <c r="C146" s="88" t="s">
        <v>79</v>
      </c>
      <c r="D146" s="90" t="s">
        <v>4</v>
      </c>
      <c r="E146" s="98" t="s">
        <v>79</v>
      </c>
      <c r="G146" s="90">
        <v>8370</v>
      </c>
      <c r="H146" s="93">
        <v>41246</v>
      </c>
      <c r="I146" s="89">
        <v>47228.91</v>
      </c>
      <c r="J146" s="94">
        <f t="shared" si="2"/>
        <v>1.0794520547945206</v>
      </c>
      <c r="K146" s="89">
        <f>ROUND($I146*(1+Preferred_Return_Rate)^tblPref[[#This Row],[Pref Period in Years]]-I146,2)</f>
        <v>2042.46</v>
      </c>
    </row>
    <row r="147" spans="1:11" x14ac:dyDescent="0.25">
      <c r="A147" s="88" t="s">
        <v>99</v>
      </c>
      <c r="C147" s="88" t="s">
        <v>79</v>
      </c>
      <c r="D147" s="90" t="s">
        <v>4</v>
      </c>
      <c r="E147" s="98" t="s">
        <v>79</v>
      </c>
      <c r="G147" s="90">
        <v>8370</v>
      </c>
      <c r="H147" s="93">
        <v>41275</v>
      </c>
      <c r="I147" s="89">
        <v>4161.83</v>
      </c>
      <c r="J147" s="94">
        <f t="shared" si="2"/>
        <v>1</v>
      </c>
      <c r="K147" s="89">
        <f>ROUND($I147*(1+Preferred_Return_Rate)^tblPref[[#This Row],[Pref Period in Years]]-I147,2)</f>
        <v>166.47</v>
      </c>
    </row>
    <row r="148" spans="1:11" x14ac:dyDescent="0.25">
      <c r="A148" s="88" t="s">
        <v>99</v>
      </c>
      <c r="C148" s="88" t="s">
        <v>79</v>
      </c>
      <c r="D148" s="90" t="s">
        <v>4</v>
      </c>
      <c r="E148" s="98" t="s">
        <v>79</v>
      </c>
      <c r="G148" s="90">
        <v>8370</v>
      </c>
      <c r="H148" s="93">
        <v>41316</v>
      </c>
      <c r="I148" s="89">
        <v>33253.01</v>
      </c>
      <c r="J148" s="94">
        <f t="shared" si="2"/>
        <v>0.88767123287671235</v>
      </c>
      <c r="K148" s="89">
        <f>ROUND($I148*(1+Preferred_Return_Rate)^tblPref[[#This Row],[Pref Period in Years]]-I148,2)</f>
        <v>1178.0999999999999</v>
      </c>
    </row>
    <row r="149" spans="1:11" x14ac:dyDescent="0.25">
      <c r="A149" s="88" t="s">
        <v>99</v>
      </c>
      <c r="C149" s="88" t="s">
        <v>80</v>
      </c>
      <c r="D149" s="90" t="s">
        <v>4</v>
      </c>
      <c r="E149" s="98" t="s">
        <v>80</v>
      </c>
      <c r="G149" s="90">
        <v>8389</v>
      </c>
      <c r="H149" s="93">
        <v>40544</v>
      </c>
      <c r="I149" s="89">
        <v>3145.14</v>
      </c>
      <c r="J149" s="94">
        <f t="shared" si="2"/>
        <v>3.0027397260273974</v>
      </c>
      <c r="K149" s="89">
        <f>ROUND($I149*(1+Preferred_Return_Rate)^tblPref[[#This Row],[Pref Period in Years]]-I149,2)</f>
        <v>393.09</v>
      </c>
    </row>
    <row r="150" spans="1:11" x14ac:dyDescent="0.25">
      <c r="A150" s="88" t="s">
        <v>99</v>
      </c>
      <c r="C150" s="88" t="s">
        <v>80</v>
      </c>
      <c r="D150" s="90" t="s">
        <v>4</v>
      </c>
      <c r="E150" s="98" t="s">
        <v>80</v>
      </c>
      <c r="G150" s="90">
        <v>8389</v>
      </c>
      <c r="H150" s="93">
        <v>40563</v>
      </c>
      <c r="I150" s="89">
        <v>32530.12</v>
      </c>
      <c r="J150" s="94">
        <f t="shared" si="2"/>
        <v>2.9506849315068493</v>
      </c>
      <c r="K150" s="89">
        <f>ROUND($I150*(1+Preferred_Return_Rate)^tblPref[[#This Row],[Pref Period in Years]]-I150,2)</f>
        <v>3991.13</v>
      </c>
    </row>
    <row r="151" spans="1:11" x14ac:dyDescent="0.25">
      <c r="A151" s="88" t="s">
        <v>99</v>
      </c>
      <c r="C151" s="88" t="s">
        <v>80</v>
      </c>
      <c r="D151" s="90" t="s">
        <v>4</v>
      </c>
      <c r="E151" s="98" t="s">
        <v>80</v>
      </c>
      <c r="G151" s="90">
        <v>8389</v>
      </c>
      <c r="H151" s="93">
        <v>40564</v>
      </c>
      <c r="I151" s="89">
        <v>2526.89</v>
      </c>
      <c r="J151" s="94">
        <f t="shared" si="2"/>
        <v>2.9479452054794519</v>
      </c>
      <c r="K151" s="89">
        <f>ROUND($I151*(1+Preferred_Return_Rate)^tblPref[[#This Row],[Pref Period in Years]]-I151,2)</f>
        <v>309.72000000000003</v>
      </c>
    </row>
    <row r="152" spans="1:11" x14ac:dyDescent="0.25">
      <c r="A152" s="88" t="s">
        <v>99</v>
      </c>
      <c r="C152" s="88" t="s">
        <v>80</v>
      </c>
      <c r="D152" s="90" t="s">
        <v>4</v>
      </c>
      <c r="E152" s="98" t="s">
        <v>80</v>
      </c>
      <c r="G152" s="90">
        <v>8389</v>
      </c>
      <c r="H152" s="93">
        <v>40585</v>
      </c>
      <c r="I152" s="89">
        <v>1137.6099999999999</v>
      </c>
      <c r="J152" s="94">
        <f t="shared" si="2"/>
        <v>2.8904109589041096</v>
      </c>
      <c r="K152" s="89">
        <f>ROUND($I152*(1+Preferred_Return_Rate)^tblPref[[#This Row],[Pref Period in Years]]-I152,2)</f>
        <v>136.56</v>
      </c>
    </row>
    <row r="153" spans="1:11" x14ac:dyDescent="0.25">
      <c r="A153" s="88" t="s">
        <v>99</v>
      </c>
      <c r="C153" s="88" t="s">
        <v>80</v>
      </c>
      <c r="D153" s="90" t="s">
        <v>4</v>
      </c>
      <c r="E153" s="98" t="s">
        <v>80</v>
      </c>
      <c r="G153" s="90">
        <v>8389</v>
      </c>
      <c r="H153" s="93">
        <v>40589</v>
      </c>
      <c r="I153" s="89">
        <v>2785.99</v>
      </c>
      <c r="J153" s="94">
        <f t="shared" si="2"/>
        <v>2.8794520547945206</v>
      </c>
      <c r="K153" s="89">
        <f>ROUND($I153*(1+Preferred_Return_Rate)^tblPref[[#This Row],[Pref Period in Years]]-I153,2)</f>
        <v>333.09</v>
      </c>
    </row>
    <row r="154" spans="1:11" x14ac:dyDescent="0.25">
      <c r="A154" s="88" t="s">
        <v>99</v>
      </c>
      <c r="C154" s="88" t="s">
        <v>80</v>
      </c>
      <c r="D154" s="90" t="s">
        <v>4</v>
      </c>
      <c r="E154" s="98" t="s">
        <v>80</v>
      </c>
      <c r="G154" s="90">
        <v>8389</v>
      </c>
      <c r="H154" s="93">
        <v>40661</v>
      </c>
      <c r="I154" s="89">
        <v>21686.75</v>
      </c>
      <c r="J154" s="94">
        <f t="shared" si="2"/>
        <v>2.6821917808219178</v>
      </c>
      <c r="K154" s="89">
        <f>ROUND($I154*(1+Preferred_Return_Rate)^tblPref[[#This Row],[Pref Period in Years]]-I154,2)</f>
        <v>2405.71</v>
      </c>
    </row>
    <row r="155" spans="1:11" x14ac:dyDescent="0.25">
      <c r="A155" s="88" t="s">
        <v>99</v>
      </c>
      <c r="C155" s="88" t="s">
        <v>80</v>
      </c>
      <c r="D155" s="90" t="s">
        <v>4</v>
      </c>
      <c r="E155" s="98" t="s">
        <v>80</v>
      </c>
      <c r="G155" s="90">
        <v>8389</v>
      </c>
      <c r="H155" s="93">
        <v>40662</v>
      </c>
      <c r="I155" s="89">
        <v>2459.56</v>
      </c>
      <c r="J155" s="94">
        <f t="shared" si="2"/>
        <v>2.6794520547945204</v>
      </c>
      <c r="K155" s="89">
        <f>ROUND($I155*(1+Preferred_Return_Rate)^tblPref[[#This Row],[Pref Period in Years]]-I155,2)</f>
        <v>272.55</v>
      </c>
    </row>
    <row r="156" spans="1:11" x14ac:dyDescent="0.25">
      <c r="A156" s="88" t="s">
        <v>99</v>
      </c>
      <c r="C156" s="88" t="s">
        <v>80</v>
      </c>
      <c r="D156" s="90" t="s">
        <v>4</v>
      </c>
      <c r="E156" s="98" t="s">
        <v>80</v>
      </c>
      <c r="G156" s="90">
        <v>8389</v>
      </c>
      <c r="H156" s="93">
        <v>40745</v>
      </c>
      <c r="I156" s="89">
        <v>108016.81</v>
      </c>
      <c r="J156" s="94">
        <f t="shared" si="2"/>
        <v>2.452054794520548</v>
      </c>
      <c r="K156" s="89">
        <f>ROUND($I156*(1+Preferred_Return_Rate)^tblPref[[#This Row],[Pref Period in Years]]-I156,2)</f>
        <v>10904.05</v>
      </c>
    </row>
    <row r="157" spans="1:11" x14ac:dyDescent="0.25">
      <c r="A157" s="88" t="s">
        <v>99</v>
      </c>
      <c r="C157" s="88" t="s">
        <v>80</v>
      </c>
      <c r="D157" s="90" t="s">
        <v>4</v>
      </c>
      <c r="E157" s="98" t="s">
        <v>80</v>
      </c>
      <c r="G157" s="90">
        <v>8389</v>
      </c>
      <c r="H157" s="93">
        <v>40792</v>
      </c>
      <c r="I157" s="89">
        <v>19233.12</v>
      </c>
      <c r="J157" s="94">
        <f t="shared" si="2"/>
        <v>2.3232876712328765</v>
      </c>
      <c r="K157" s="89">
        <f>ROUND($I157*(1+Preferred_Return_Rate)^tblPref[[#This Row],[Pref Period in Years]]-I157,2)</f>
        <v>1834.87</v>
      </c>
    </row>
    <row r="158" spans="1:11" x14ac:dyDescent="0.25">
      <c r="A158" s="88" t="s">
        <v>99</v>
      </c>
      <c r="C158" s="88" t="s">
        <v>80</v>
      </c>
      <c r="D158" s="90" t="s">
        <v>4</v>
      </c>
      <c r="E158" s="98" t="s">
        <v>80</v>
      </c>
      <c r="G158" s="90">
        <v>8389</v>
      </c>
      <c r="H158" s="93">
        <v>40857</v>
      </c>
      <c r="I158" s="89">
        <v>11214.83</v>
      </c>
      <c r="J158" s="94">
        <f t="shared" si="2"/>
        <v>2.1452054794520548</v>
      </c>
      <c r="K158" s="89">
        <f>ROUND($I158*(1+Preferred_Return_Rate)^tblPref[[#This Row],[Pref Period in Years]]-I158,2)</f>
        <v>984.41</v>
      </c>
    </row>
    <row r="159" spans="1:11" x14ac:dyDescent="0.25">
      <c r="A159" s="88" t="s">
        <v>99</v>
      </c>
      <c r="C159" s="88" t="s">
        <v>80</v>
      </c>
      <c r="D159" s="90" t="s">
        <v>4</v>
      </c>
      <c r="E159" s="98" t="s">
        <v>80</v>
      </c>
      <c r="G159" s="90">
        <v>8389</v>
      </c>
      <c r="H159" s="93">
        <v>40909</v>
      </c>
      <c r="I159" s="89">
        <v>2705.12</v>
      </c>
      <c r="J159" s="94">
        <f t="shared" si="2"/>
        <v>2.0027397260273974</v>
      </c>
      <c r="K159" s="89">
        <f>ROUND($I159*(1+Preferred_Return_Rate)^tblPref[[#This Row],[Pref Period in Years]]-I159,2)</f>
        <v>221.05</v>
      </c>
    </row>
    <row r="160" spans="1:11" x14ac:dyDescent="0.25">
      <c r="A160" s="88" t="s">
        <v>99</v>
      </c>
      <c r="C160" s="88" t="s">
        <v>80</v>
      </c>
      <c r="D160" s="90" t="s">
        <v>4</v>
      </c>
      <c r="E160" s="98" t="s">
        <v>80</v>
      </c>
      <c r="G160" s="90">
        <v>8389</v>
      </c>
      <c r="H160" s="93">
        <v>40940</v>
      </c>
      <c r="I160" s="89">
        <v>28465.01</v>
      </c>
      <c r="J160" s="94">
        <f t="shared" si="2"/>
        <v>1.9178082191780821</v>
      </c>
      <c r="K160" s="89">
        <f>ROUND($I160*(1+Preferred_Return_Rate)^tblPref[[#This Row],[Pref Period in Years]]-I160,2)</f>
        <v>2223.66</v>
      </c>
    </row>
    <row r="161" spans="1:11" x14ac:dyDescent="0.25">
      <c r="A161" s="88" t="s">
        <v>99</v>
      </c>
      <c r="C161" s="88" t="s">
        <v>80</v>
      </c>
      <c r="D161" s="90" t="s">
        <v>4</v>
      </c>
      <c r="E161" s="98" t="s">
        <v>80</v>
      </c>
      <c r="G161" s="90">
        <v>8389</v>
      </c>
      <c r="H161" s="93">
        <v>41047</v>
      </c>
      <c r="I161" s="89">
        <v>43373.49</v>
      </c>
      <c r="J161" s="94">
        <f t="shared" si="2"/>
        <v>1.6246575342465754</v>
      </c>
      <c r="K161" s="89">
        <f>ROUND($I161*(1+Preferred_Return_Rate)^tblPref[[#This Row],[Pref Period in Years]]-I161,2)</f>
        <v>2853.72</v>
      </c>
    </row>
    <row r="162" spans="1:11" x14ac:dyDescent="0.25">
      <c r="A162" s="88" t="s">
        <v>99</v>
      </c>
      <c r="C162" s="88" t="s">
        <v>80</v>
      </c>
      <c r="D162" s="90" t="s">
        <v>4</v>
      </c>
      <c r="E162" s="98" t="s">
        <v>80</v>
      </c>
      <c r="G162" s="90">
        <v>8389</v>
      </c>
      <c r="H162" s="93">
        <v>41080</v>
      </c>
      <c r="I162" s="89">
        <v>348.25</v>
      </c>
      <c r="J162" s="94">
        <f t="shared" si="2"/>
        <v>1.5342465753424657</v>
      </c>
      <c r="K162" s="89">
        <f>ROUND($I162*(1+Preferred_Return_Rate)^tblPref[[#This Row],[Pref Period in Years]]-I162,2)</f>
        <v>21.6</v>
      </c>
    </row>
    <row r="163" spans="1:11" x14ac:dyDescent="0.25">
      <c r="A163" s="88" t="s">
        <v>99</v>
      </c>
      <c r="C163" s="88" t="s">
        <v>80</v>
      </c>
      <c r="D163" s="90" t="s">
        <v>4</v>
      </c>
      <c r="E163" s="98" t="s">
        <v>80</v>
      </c>
      <c r="G163" s="90">
        <v>8389</v>
      </c>
      <c r="H163" s="93">
        <v>41141</v>
      </c>
      <c r="I163" s="89">
        <v>7228.92</v>
      </c>
      <c r="J163" s="94">
        <f t="shared" si="2"/>
        <v>1.3671232876712329</v>
      </c>
      <c r="K163" s="89">
        <f>ROUND($I163*(1+Preferred_Return_Rate)^tblPref[[#This Row],[Pref Period in Years]]-I163,2)</f>
        <v>398.19</v>
      </c>
    </row>
    <row r="164" spans="1:11" x14ac:dyDescent="0.25">
      <c r="A164" s="88" t="s">
        <v>99</v>
      </c>
      <c r="C164" s="88" t="s">
        <v>80</v>
      </c>
      <c r="D164" s="90" t="s">
        <v>4</v>
      </c>
      <c r="E164" s="98" t="s">
        <v>80</v>
      </c>
      <c r="G164" s="90">
        <v>8389</v>
      </c>
      <c r="H164" s="93">
        <v>41246</v>
      </c>
      <c r="I164" s="89">
        <v>37696.92</v>
      </c>
      <c r="J164" s="94">
        <f t="shared" si="2"/>
        <v>1.0794520547945206</v>
      </c>
      <c r="K164" s="89">
        <f>ROUND($I164*(1+Preferred_Return_Rate)^tblPref[[#This Row],[Pref Period in Years]]-I164,2)</f>
        <v>1630.24</v>
      </c>
    </row>
    <row r="165" spans="1:11" x14ac:dyDescent="0.25">
      <c r="A165" s="88" t="s">
        <v>99</v>
      </c>
      <c r="C165" s="88" t="s">
        <v>80</v>
      </c>
      <c r="D165" s="90" t="s">
        <v>4</v>
      </c>
      <c r="E165" s="98" t="s">
        <v>80</v>
      </c>
      <c r="G165" s="90">
        <v>8389</v>
      </c>
      <c r="H165" s="93">
        <v>41275</v>
      </c>
      <c r="I165" s="89">
        <v>3353.55</v>
      </c>
      <c r="J165" s="94">
        <f t="shared" si="2"/>
        <v>1</v>
      </c>
      <c r="K165" s="89">
        <f>ROUND($I165*(1+Preferred_Return_Rate)^tblPref[[#This Row],[Pref Period in Years]]-I165,2)</f>
        <v>134.13999999999999</v>
      </c>
    </row>
    <row r="166" spans="1:11" x14ac:dyDescent="0.25">
      <c r="A166" s="88" t="s">
        <v>99</v>
      </c>
      <c r="C166" s="88" t="s">
        <v>80</v>
      </c>
      <c r="D166" s="90" t="s">
        <v>4</v>
      </c>
      <c r="E166" s="98" t="s">
        <v>80</v>
      </c>
      <c r="G166" s="90">
        <v>8389</v>
      </c>
      <c r="H166" s="93">
        <v>41316</v>
      </c>
      <c r="I166" s="89">
        <v>25399.45</v>
      </c>
      <c r="J166" s="94">
        <f t="shared" si="2"/>
        <v>0.88767123287671235</v>
      </c>
      <c r="K166" s="89">
        <f>ROUND($I166*(1+Preferred_Return_Rate)^tblPref[[#This Row],[Pref Period in Years]]-I166,2)</f>
        <v>899.86</v>
      </c>
    </row>
    <row r="167" spans="1:11" x14ac:dyDescent="0.25">
      <c r="A167" s="88" t="s">
        <v>99</v>
      </c>
      <c r="C167" s="88" t="s">
        <v>81</v>
      </c>
      <c r="D167" s="90" t="s">
        <v>4</v>
      </c>
      <c r="E167" s="98" t="s">
        <v>81</v>
      </c>
      <c r="G167" s="90">
        <v>8388</v>
      </c>
      <c r="H167" s="93">
        <v>40544</v>
      </c>
      <c r="I167" s="89">
        <v>208.95</v>
      </c>
      <c r="J167" s="94">
        <f t="shared" si="2"/>
        <v>3.0027397260273974</v>
      </c>
      <c r="K167" s="89">
        <f>ROUND($I167*(1+Preferred_Return_Rate)^tblPref[[#This Row],[Pref Period in Years]]-I167,2)</f>
        <v>26.12</v>
      </c>
    </row>
    <row r="168" spans="1:11" x14ac:dyDescent="0.25">
      <c r="A168" s="88" t="s">
        <v>99</v>
      </c>
      <c r="C168" s="88" t="s">
        <v>81</v>
      </c>
      <c r="D168" s="90" t="s">
        <v>4</v>
      </c>
      <c r="E168" s="98" t="s">
        <v>81</v>
      </c>
      <c r="G168" s="90">
        <v>8388</v>
      </c>
      <c r="H168" s="93">
        <v>40564</v>
      </c>
      <c r="I168" s="89">
        <v>2526.89</v>
      </c>
      <c r="J168" s="94">
        <f t="shared" si="2"/>
        <v>2.9479452054794519</v>
      </c>
      <c r="K168" s="89">
        <f>ROUND($I168*(1+Preferred_Return_Rate)^tblPref[[#This Row],[Pref Period in Years]]-I168,2)</f>
        <v>309.72000000000003</v>
      </c>
    </row>
    <row r="169" spans="1:11" x14ac:dyDescent="0.25">
      <c r="A169" s="88" t="s">
        <v>99</v>
      </c>
      <c r="C169" s="88" t="s">
        <v>81</v>
      </c>
      <c r="D169" s="90" t="s">
        <v>4</v>
      </c>
      <c r="E169" s="98" t="s">
        <v>81</v>
      </c>
      <c r="G169" s="90">
        <v>8388</v>
      </c>
      <c r="H169" s="93">
        <v>40585</v>
      </c>
      <c r="I169" s="89">
        <v>1137.6099999999999</v>
      </c>
      <c r="J169" s="94">
        <f t="shared" si="2"/>
        <v>2.8904109589041096</v>
      </c>
      <c r="K169" s="89">
        <f>ROUND($I169*(1+Preferred_Return_Rate)^tblPref[[#This Row],[Pref Period in Years]]-I169,2)</f>
        <v>136.56</v>
      </c>
    </row>
    <row r="170" spans="1:11" x14ac:dyDescent="0.25">
      <c r="A170" s="88" t="s">
        <v>99</v>
      </c>
      <c r="C170" s="88" t="s">
        <v>81</v>
      </c>
      <c r="D170" s="90" t="s">
        <v>4</v>
      </c>
      <c r="E170" s="98" t="s">
        <v>81</v>
      </c>
      <c r="G170" s="90">
        <v>8388</v>
      </c>
      <c r="H170" s="93">
        <v>40589</v>
      </c>
      <c r="I170" s="89">
        <v>2785.99</v>
      </c>
      <c r="J170" s="94">
        <f t="shared" si="2"/>
        <v>2.8794520547945206</v>
      </c>
      <c r="K170" s="89">
        <f>ROUND($I170*(1+Preferred_Return_Rate)^tblPref[[#This Row],[Pref Period in Years]]-I170,2)</f>
        <v>333.09</v>
      </c>
    </row>
    <row r="171" spans="1:11" x14ac:dyDescent="0.25">
      <c r="A171" s="88" t="s">
        <v>99</v>
      </c>
      <c r="C171" s="88" t="s">
        <v>81</v>
      </c>
      <c r="D171" s="90" t="s">
        <v>4</v>
      </c>
      <c r="E171" s="98" t="s">
        <v>81</v>
      </c>
      <c r="G171" s="90">
        <v>8388</v>
      </c>
      <c r="H171" s="93">
        <v>40662</v>
      </c>
      <c r="I171" s="89">
        <v>2459.56</v>
      </c>
      <c r="J171" s="94">
        <f t="shared" si="2"/>
        <v>2.6794520547945204</v>
      </c>
      <c r="K171" s="89">
        <f>ROUND($I171*(1+Preferred_Return_Rate)^tblPref[[#This Row],[Pref Period in Years]]-I171,2)</f>
        <v>272.55</v>
      </c>
    </row>
    <row r="172" spans="1:11" x14ac:dyDescent="0.25">
      <c r="A172" s="88" t="s">
        <v>99</v>
      </c>
      <c r="C172" s="88" t="s">
        <v>81</v>
      </c>
      <c r="D172" s="90" t="s">
        <v>4</v>
      </c>
      <c r="E172" s="98" t="s">
        <v>81</v>
      </c>
      <c r="G172" s="90">
        <v>8388</v>
      </c>
      <c r="H172" s="93">
        <v>40745</v>
      </c>
      <c r="I172" s="89">
        <v>4643.3</v>
      </c>
      <c r="J172" s="94">
        <f t="shared" si="2"/>
        <v>2.452054794520548</v>
      </c>
      <c r="K172" s="89">
        <f>ROUND($I172*(1+Preferred_Return_Rate)^tblPref[[#This Row],[Pref Period in Years]]-I172,2)</f>
        <v>468.73</v>
      </c>
    </row>
    <row r="173" spans="1:11" x14ac:dyDescent="0.25">
      <c r="A173" s="88" t="s">
        <v>99</v>
      </c>
      <c r="C173" s="88" t="s">
        <v>81</v>
      </c>
      <c r="D173" s="90" t="s">
        <v>4</v>
      </c>
      <c r="E173" s="98" t="s">
        <v>81</v>
      </c>
      <c r="G173" s="90">
        <v>8388</v>
      </c>
      <c r="H173" s="93">
        <v>40792</v>
      </c>
      <c r="I173" s="89">
        <v>1160.83</v>
      </c>
      <c r="J173" s="94">
        <f t="shared" si="2"/>
        <v>2.3232876712328765</v>
      </c>
      <c r="K173" s="89">
        <f>ROUND($I173*(1+Preferred_Return_Rate)^tblPref[[#This Row],[Pref Period in Years]]-I173,2)</f>
        <v>110.74</v>
      </c>
    </row>
    <row r="174" spans="1:11" x14ac:dyDescent="0.25">
      <c r="A174" s="88" t="s">
        <v>99</v>
      </c>
      <c r="C174" s="88" t="s">
        <v>81</v>
      </c>
      <c r="D174" s="90" t="s">
        <v>4</v>
      </c>
      <c r="E174" s="98" t="s">
        <v>81</v>
      </c>
      <c r="G174" s="90">
        <v>8388</v>
      </c>
      <c r="H174" s="93">
        <v>40857</v>
      </c>
      <c r="I174" s="89">
        <v>371.46</v>
      </c>
      <c r="J174" s="94">
        <f t="shared" si="2"/>
        <v>2.1452054794520548</v>
      </c>
      <c r="K174" s="89">
        <f>ROUND($I174*(1+Preferred_Return_Rate)^tblPref[[#This Row],[Pref Period in Years]]-I174,2)</f>
        <v>32.61</v>
      </c>
    </row>
    <row r="175" spans="1:11" x14ac:dyDescent="0.25">
      <c r="A175" s="88" t="s">
        <v>99</v>
      </c>
      <c r="C175" s="88" t="s">
        <v>81</v>
      </c>
      <c r="D175" s="90" t="s">
        <v>4</v>
      </c>
      <c r="E175" s="98" t="s">
        <v>81</v>
      </c>
      <c r="G175" s="90">
        <v>8388</v>
      </c>
      <c r="H175" s="93">
        <v>40909</v>
      </c>
      <c r="I175" s="89">
        <v>139.30000000000001</v>
      </c>
      <c r="J175" s="94">
        <f t="shared" si="2"/>
        <v>2.0027397260273974</v>
      </c>
      <c r="K175" s="89">
        <f>ROUND($I175*(1+Preferred_Return_Rate)^tblPref[[#This Row],[Pref Period in Years]]-I175,2)</f>
        <v>11.38</v>
      </c>
    </row>
    <row r="176" spans="1:11" x14ac:dyDescent="0.25">
      <c r="A176" s="88" t="s">
        <v>99</v>
      </c>
      <c r="C176" s="88" t="s">
        <v>81</v>
      </c>
      <c r="D176" s="90" t="s">
        <v>4</v>
      </c>
      <c r="E176" s="98" t="s">
        <v>81</v>
      </c>
      <c r="G176" s="90">
        <v>8388</v>
      </c>
      <c r="H176" s="93">
        <v>40940</v>
      </c>
      <c r="I176" s="89">
        <v>1718.03</v>
      </c>
      <c r="J176" s="94">
        <f t="shared" si="2"/>
        <v>1.9178082191780821</v>
      </c>
      <c r="K176" s="89">
        <f>ROUND($I176*(1+Preferred_Return_Rate)^tblPref[[#This Row],[Pref Period in Years]]-I176,2)</f>
        <v>134.21</v>
      </c>
    </row>
    <row r="177" spans="1:11" x14ac:dyDescent="0.25">
      <c r="A177" s="88" t="s">
        <v>99</v>
      </c>
      <c r="C177" s="88" t="s">
        <v>81</v>
      </c>
      <c r="D177" s="90" t="s">
        <v>4</v>
      </c>
      <c r="E177" s="98" t="s">
        <v>81</v>
      </c>
      <c r="G177" s="90">
        <v>8388</v>
      </c>
      <c r="H177" s="93">
        <v>41080</v>
      </c>
      <c r="I177" s="89">
        <v>348.25</v>
      </c>
      <c r="J177" s="94">
        <f t="shared" si="2"/>
        <v>1.5342465753424657</v>
      </c>
      <c r="K177" s="89">
        <f>ROUND($I177*(1+Preferred_Return_Rate)^tblPref[[#This Row],[Pref Period in Years]]-I177,2)</f>
        <v>21.6</v>
      </c>
    </row>
    <row r="178" spans="1:11" x14ac:dyDescent="0.25">
      <c r="A178" s="88" t="s">
        <v>99</v>
      </c>
      <c r="C178" s="88" t="s">
        <v>81</v>
      </c>
      <c r="D178" s="90" t="s">
        <v>4</v>
      </c>
      <c r="E178" s="98" t="s">
        <v>81</v>
      </c>
      <c r="G178" s="90">
        <v>8388</v>
      </c>
      <c r="H178" s="93">
        <v>41246</v>
      </c>
      <c r="I178" s="89">
        <v>2275.23</v>
      </c>
      <c r="J178" s="94">
        <f t="shared" si="2"/>
        <v>1.0794520547945206</v>
      </c>
      <c r="K178" s="89">
        <f>ROUND($I178*(1+Preferred_Return_Rate)^tblPref[[#This Row],[Pref Period in Years]]-I178,2)</f>
        <v>98.39</v>
      </c>
    </row>
    <row r="179" spans="1:11" x14ac:dyDescent="0.25">
      <c r="A179" s="88" t="s">
        <v>99</v>
      </c>
      <c r="C179" s="88" t="s">
        <v>81</v>
      </c>
      <c r="D179" s="90" t="s">
        <v>4</v>
      </c>
      <c r="E179" s="98" t="s">
        <v>81</v>
      </c>
      <c r="G179" s="90">
        <v>8388</v>
      </c>
      <c r="H179" s="93">
        <v>41275</v>
      </c>
      <c r="I179" s="89">
        <v>232.17</v>
      </c>
      <c r="J179" s="94">
        <f t="shared" si="2"/>
        <v>1</v>
      </c>
      <c r="K179" s="89">
        <f>ROUND($I179*(1+Preferred_Return_Rate)^tblPref[[#This Row],[Pref Period in Years]]-I179,2)</f>
        <v>9.2899999999999991</v>
      </c>
    </row>
    <row r="180" spans="1:11" x14ac:dyDescent="0.25">
      <c r="A180" s="88" t="s">
        <v>99</v>
      </c>
      <c r="C180" s="88" t="s">
        <v>81</v>
      </c>
      <c r="D180" s="90" t="s">
        <v>4</v>
      </c>
      <c r="E180" s="98" t="s">
        <v>81</v>
      </c>
      <c r="G180" s="90">
        <v>8388</v>
      </c>
      <c r="H180" s="93">
        <v>41316</v>
      </c>
      <c r="I180" s="89">
        <v>459.69</v>
      </c>
      <c r="J180" s="94">
        <f t="shared" si="2"/>
        <v>0.88767123287671235</v>
      </c>
      <c r="K180" s="89">
        <f>ROUND($I180*(1+Preferred_Return_Rate)^tblPref[[#This Row],[Pref Period in Years]]-I180,2)</f>
        <v>16.29</v>
      </c>
    </row>
    <row r="181" spans="1:11" x14ac:dyDescent="0.25">
      <c r="A181" s="88" t="s">
        <v>99</v>
      </c>
      <c r="C181" s="88" t="s">
        <v>83</v>
      </c>
      <c r="D181" s="90" t="s">
        <v>4</v>
      </c>
      <c r="E181" s="98" t="s">
        <v>83</v>
      </c>
      <c r="G181" s="90">
        <v>8394</v>
      </c>
      <c r="H181" s="93">
        <v>40544</v>
      </c>
      <c r="I181" s="89">
        <v>78240.86</v>
      </c>
      <c r="J181" s="94">
        <f t="shared" si="2"/>
        <v>3.0027397260273974</v>
      </c>
      <c r="K181" s="89">
        <f>ROUND($I181*(1+Preferred_Return_Rate)^tblPref[[#This Row],[Pref Period in Years]]-I181,2)</f>
        <v>9778.92</v>
      </c>
    </row>
    <row r="182" spans="1:11" x14ac:dyDescent="0.25">
      <c r="A182" s="88" t="s">
        <v>99</v>
      </c>
      <c r="C182" s="88" t="s">
        <v>83</v>
      </c>
      <c r="D182" s="90" t="s">
        <v>4</v>
      </c>
      <c r="E182" s="98" t="s">
        <v>83</v>
      </c>
      <c r="G182" s="90">
        <v>8394</v>
      </c>
      <c r="H182" s="93">
        <v>40563</v>
      </c>
      <c r="I182" s="89">
        <v>10843.37</v>
      </c>
      <c r="J182" s="94">
        <f t="shared" si="2"/>
        <v>2.9506849315068493</v>
      </c>
      <c r="K182" s="89">
        <f>ROUND($I182*(1+Preferred_Return_Rate)^tblPref[[#This Row],[Pref Period in Years]]-I182,2)</f>
        <v>1330.38</v>
      </c>
    </row>
    <row r="183" spans="1:11" x14ac:dyDescent="0.25">
      <c r="A183" s="88" t="s">
        <v>99</v>
      </c>
      <c r="C183" s="88" t="s">
        <v>83</v>
      </c>
      <c r="D183" s="90" t="s">
        <v>4</v>
      </c>
      <c r="E183" s="98" t="s">
        <v>83</v>
      </c>
      <c r="G183" s="90">
        <v>8394</v>
      </c>
      <c r="H183" s="93">
        <v>40564</v>
      </c>
      <c r="I183" s="89">
        <v>934356.69</v>
      </c>
      <c r="J183" s="94">
        <f t="shared" si="2"/>
        <v>2.9479452054794519</v>
      </c>
      <c r="K183" s="89">
        <f>ROUND($I183*(1+Preferred_Return_Rate)^tblPref[[#This Row],[Pref Period in Years]]-I183,2)</f>
        <v>114523.9</v>
      </c>
    </row>
    <row r="184" spans="1:11" x14ac:dyDescent="0.25">
      <c r="A184" s="88" t="s">
        <v>99</v>
      </c>
      <c r="C184" s="88" t="s">
        <v>83</v>
      </c>
      <c r="D184" s="90" t="s">
        <v>4</v>
      </c>
      <c r="E184" s="98" t="s">
        <v>83</v>
      </c>
      <c r="G184" s="90">
        <v>8394</v>
      </c>
      <c r="H184" s="93">
        <v>40585</v>
      </c>
      <c r="I184" s="89">
        <v>420649.37</v>
      </c>
      <c r="J184" s="94">
        <f t="shared" si="2"/>
        <v>2.8904109589041096</v>
      </c>
      <c r="K184" s="89">
        <f>ROUND($I184*(1+Preferred_Return_Rate)^tblPref[[#This Row],[Pref Period in Years]]-I184,2)</f>
        <v>50494.55</v>
      </c>
    </row>
    <row r="185" spans="1:11" x14ac:dyDescent="0.25">
      <c r="A185" s="88" t="s">
        <v>99</v>
      </c>
      <c r="C185" s="88" t="s">
        <v>83</v>
      </c>
      <c r="D185" s="90" t="s">
        <v>4</v>
      </c>
      <c r="E185" s="98" t="s">
        <v>83</v>
      </c>
      <c r="G185" s="90">
        <v>8394</v>
      </c>
      <c r="H185" s="93">
        <v>40589</v>
      </c>
      <c r="I185" s="89">
        <v>1030161.73</v>
      </c>
      <c r="J185" s="94">
        <f t="shared" si="2"/>
        <v>2.8794520547945206</v>
      </c>
      <c r="K185" s="89">
        <f>ROUND($I185*(1+Preferred_Return_Rate)^tblPref[[#This Row],[Pref Period in Years]]-I185,2)</f>
        <v>123164.31</v>
      </c>
    </row>
    <row r="186" spans="1:11" x14ac:dyDescent="0.25">
      <c r="A186" s="88" t="s">
        <v>99</v>
      </c>
      <c r="C186" s="88" t="s">
        <v>83</v>
      </c>
      <c r="D186" s="90" t="s">
        <v>4</v>
      </c>
      <c r="E186" s="98" t="s">
        <v>83</v>
      </c>
      <c r="G186" s="90">
        <v>8394</v>
      </c>
      <c r="H186" s="93">
        <v>40661</v>
      </c>
      <c r="I186" s="89">
        <v>7228.92</v>
      </c>
      <c r="J186" s="94">
        <f t="shared" si="2"/>
        <v>2.6821917808219178</v>
      </c>
      <c r="K186" s="89">
        <f>ROUND($I186*(1+Preferred_Return_Rate)^tblPref[[#This Row],[Pref Period in Years]]-I186,2)</f>
        <v>801.9</v>
      </c>
    </row>
    <row r="187" spans="1:11" x14ac:dyDescent="0.25">
      <c r="A187" s="88" t="s">
        <v>99</v>
      </c>
      <c r="C187" s="88" t="s">
        <v>83</v>
      </c>
      <c r="D187" s="90" t="s">
        <v>4</v>
      </c>
      <c r="E187" s="98" t="s">
        <v>83</v>
      </c>
      <c r="G187" s="90">
        <v>8394</v>
      </c>
      <c r="H187" s="93">
        <v>40662</v>
      </c>
      <c r="I187" s="89">
        <v>909461.12</v>
      </c>
      <c r="J187" s="94">
        <f t="shared" si="2"/>
        <v>2.6794520547945204</v>
      </c>
      <c r="K187" s="89">
        <f>ROUND($I187*(1+Preferred_Return_Rate)^tblPref[[#This Row],[Pref Period in Years]]-I187,2)</f>
        <v>100777.93</v>
      </c>
    </row>
    <row r="188" spans="1:11" x14ac:dyDescent="0.25">
      <c r="A188" s="88" t="s">
        <v>99</v>
      </c>
      <c r="C188" s="88" t="s">
        <v>83</v>
      </c>
      <c r="D188" s="90" t="s">
        <v>4</v>
      </c>
      <c r="E188" s="98" t="s">
        <v>83</v>
      </c>
      <c r="G188" s="90">
        <v>8394</v>
      </c>
      <c r="H188" s="93">
        <v>40745</v>
      </c>
      <c r="I188" s="89">
        <v>1751394.06</v>
      </c>
      <c r="J188" s="94">
        <f t="shared" si="2"/>
        <v>2.452054794520548</v>
      </c>
      <c r="K188" s="89">
        <f>ROUND($I188*(1+Preferred_Return_Rate)^tblPref[[#This Row],[Pref Period in Years]]-I188,2)</f>
        <v>176799.17</v>
      </c>
    </row>
    <row r="189" spans="1:11" x14ac:dyDescent="0.25">
      <c r="A189" s="88" t="s">
        <v>99</v>
      </c>
      <c r="C189" s="88" t="s">
        <v>83</v>
      </c>
      <c r="D189" s="90" t="s">
        <v>4</v>
      </c>
      <c r="E189" s="98" t="s">
        <v>83</v>
      </c>
      <c r="G189" s="90">
        <v>8394</v>
      </c>
      <c r="H189" s="93">
        <v>40792</v>
      </c>
      <c r="I189" s="89">
        <v>435258.16</v>
      </c>
      <c r="J189" s="94">
        <f t="shared" si="2"/>
        <v>2.3232876712328765</v>
      </c>
      <c r="K189" s="89">
        <f>ROUND($I189*(1+Preferred_Return_Rate)^tblPref[[#This Row],[Pref Period in Years]]-I189,2)</f>
        <v>41524.300000000003</v>
      </c>
    </row>
    <row r="190" spans="1:11" x14ac:dyDescent="0.25">
      <c r="A190" s="88" t="s">
        <v>99</v>
      </c>
      <c r="C190" s="88" t="s">
        <v>83</v>
      </c>
      <c r="D190" s="90" t="s">
        <v>4</v>
      </c>
      <c r="E190" s="98" t="s">
        <v>83</v>
      </c>
      <c r="G190" s="90">
        <v>8394</v>
      </c>
      <c r="H190" s="93">
        <v>40857</v>
      </c>
      <c r="I190" s="89">
        <v>140969.35999999999</v>
      </c>
      <c r="J190" s="94">
        <f t="shared" si="2"/>
        <v>2.1452054794520548</v>
      </c>
      <c r="K190" s="89">
        <f>ROUND($I190*(1+Preferred_Return_Rate)^tblPref[[#This Row],[Pref Period in Years]]-I190,2)</f>
        <v>12373.92</v>
      </c>
    </row>
    <row r="191" spans="1:11" x14ac:dyDescent="0.25">
      <c r="A191" s="88" t="s">
        <v>99</v>
      </c>
      <c r="C191" s="88" t="s">
        <v>83</v>
      </c>
      <c r="D191" s="90" t="s">
        <v>4</v>
      </c>
      <c r="E191" s="98" t="s">
        <v>83</v>
      </c>
      <c r="G191" s="90">
        <v>8394</v>
      </c>
      <c r="H191" s="93">
        <v>40909</v>
      </c>
      <c r="I191" s="89">
        <v>52363.37</v>
      </c>
      <c r="J191" s="94">
        <f t="shared" si="2"/>
        <v>2.0027397260273974</v>
      </c>
      <c r="K191" s="89">
        <f>ROUND($I191*(1+Preferred_Return_Rate)^tblPref[[#This Row],[Pref Period in Years]]-I191,2)</f>
        <v>4278.9399999999996</v>
      </c>
    </row>
    <row r="192" spans="1:11" x14ac:dyDescent="0.25">
      <c r="A192" s="88" t="s">
        <v>99</v>
      </c>
      <c r="C192" s="88" t="s">
        <v>83</v>
      </c>
      <c r="D192" s="90" t="s">
        <v>4</v>
      </c>
      <c r="E192" s="98" t="s">
        <v>83</v>
      </c>
      <c r="G192" s="90">
        <v>8394</v>
      </c>
      <c r="H192" s="93">
        <v>40940</v>
      </c>
      <c r="I192" s="89">
        <v>644182.06000000006</v>
      </c>
      <c r="J192" s="94">
        <f t="shared" si="2"/>
        <v>1.9178082191780821</v>
      </c>
      <c r="K192" s="89">
        <f>ROUND($I192*(1+Preferred_Return_Rate)^tblPref[[#This Row],[Pref Period in Years]]-I192,2)</f>
        <v>50322.82</v>
      </c>
    </row>
    <row r="193" spans="1:11" x14ac:dyDescent="0.25">
      <c r="A193" s="88" t="s">
        <v>99</v>
      </c>
      <c r="C193" s="88" t="s">
        <v>83</v>
      </c>
      <c r="D193" s="90" t="s">
        <v>4</v>
      </c>
      <c r="E193" s="98" t="s">
        <v>83</v>
      </c>
      <c r="G193" s="90">
        <v>8394</v>
      </c>
      <c r="H193" s="93">
        <v>41047</v>
      </c>
      <c r="I193" s="89">
        <v>14457.83</v>
      </c>
      <c r="J193" s="94">
        <f t="shared" si="2"/>
        <v>1.6246575342465754</v>
      </c>
      <c r="K193" s="89">
        <f>ROUND($I193*(1+Preferred_Return_Rate)^tblPref[[#This Row],[Pref Period in Years]]-I193,2)</f>
        <v>951.24</v>
      </c>
    </row>
    <row r="194" spans="1:11" x14ac:dyDescent="0.25">
      <c r="A194" s="88" t="s">
        <v>99</v>
      </c>
      <c r="C194" s="88" t="s">
        <v>83</v>
      </c>
      <c r="D194" s="90" t="s">
        <v>4</v>
      </c>
      <c r="E194" s="98" t="s">
        <v>83</v>
      </c>
      <c r="G194" s="90">
        <v>8394</v>
      </c>
      <c r="H194" s="93">
        <v>41080</v>
      </c>
      <c r="I194" s="89">
        <v>128770.22</v>
      </c>
      <c r="J194" s="94">
        <f t="shared" si="2"/>
        <v>1.5342465753424657</v>
      </c>
      <c r="K194" s="89">
        <f>ROUND($I194*(1+Preferred_Return_Rate)^tblPref[[#This Row],[Pref Period in Years]]-I194,2)</f>
        <v>7986.53</v>
      </c>
    </row>
    <row r="195" spans="1:11" x14ac:dyDescent="0.25">
      <c r="A195" s="88" t="s">
        <v>99</v>
      </c>
      <c r="C195" s="88" t="s">
        <v>83</v>
      </c>
      <c r="D195" s="90" t="s">
        <v>4</v>
      </c>
      <c r="E195" s="98" t="s">
        <v>83</v>
      </c>
      <c r="G195" s="90">
        <v>8394</v>
      </c>
      <c r="H195" s="93">
        <v>41141</v>
      </c>
      <c r="I195" s="89">
        <v>2409.64</v>
      </c>
      <c r="J195" s="94">
        <f t="shared" si="2"/>
        <v>1.3671232876712329</v>
      </c>
      <c r="K195" s="89">
        <f>ROUND($I195*(1+Preferred_Return_Rate)^tblPref[[#This Row],[Pref Period in Years]]-I195,2)</f>
        <v>132.72999999999999</v>
      </c>
    </row>
    <row r="196" spans="1:11" x14ac:dyDescent="0.25">
      <c r="A196" s="88" t="s">
        <v>99</v>
      </c>
      <c r="C196" s="88" t="s">
        <v>83</v>
      </c>
      <c r="D196" s="90" t="s">
        <v>4</v>
      </c>
      <c r="E196" s="98" t="s">
        <v>83</v>
      </c>
      <c r="G196" s="90">
        <v>8394</v>
      </c>
      <c r="H196" s="93">
        <v>41246</v>
      </c>
      <c r="I196" s="89">
        <v>853105.98</v>
      </c>
      <c r="J196" s="94">
        <f t="shared" si="2"/>
        <v>1.0794520547945206</v>
      </c>
      <c r="K196" s="89">
        <f>ROUND($I196*(1+Preferred_Return_Rate)^tblPref[[#This Row],[Pref Period in Years]]-I196,2)</f>
        <v>36893.31</v>
      </c>
    </row>
    <row r="197" spans="1:11" x14ac:dyDescent="0.25">
      <c r="A197" s="88" t="s">
        <v>99</v>
      </c>
      <c r="C197" s="88" t="s">
        <v>83</v>
      </c>
      <c r="D197" s="90" t="s">
        <v>4</v>
      </c>
      <c r="E197" s="98" t="s">
        <v>83</v>
      </c>
      <c r="G197" s="90">
        <v>8394</v>
      </c>
      <c r="H197" s="93">
        <v>41275</v>
      </c>
      <c r="I197" s="89">
        <v>86887.27</v>
      </c>
      <c r="J197" s="94">
        <f t="shared" si="2"/>
        <v>1</v>
      </c>
      <c r="K197" s="89">
        <f>ROUND($I197*(1+Preferred_Return_Rate)^tblPref[[#This Row],[Pref Period in Years]]-I197,2)</f>
        <v>3475.49</v>
      </c>
    </row>
    <row r="198" spans="1:11" x14ac:dyDescent="0.25">
      <c r="A198" s="88" t="s">
        <v>99</v>
      </c>
      <c r="C198" s="88" t="s">
        <v>83</v>
      </c>
      <c r="D198" s="90" t="s">
        <v>4</v>
      </c>
      <c r="E198" s="98" t="s">
        <v>83</v>
      </c>
      <c r="G198" s="90">
        <v>8394</v>
      </c>
      <c r="H198" s="93">
        <v>41316</v>
      </c>
      <c r="I198" s="89">
        <v>178289.94</v>
      </c>
      <c r="J198" s="94">
        <f t="shared" ref="J198:J261" si="3">((Period_End_Date-$H198+1)/365)</f>
        <v>0.88767123287671235</v>
      </c>
      <c r="K198" s="89">
        <f>ROUND($I198*(1+Preferred_Return_Rate)^tblPref[[#This Row],[Pref Period in Years]]-I198,2)</f>
        <v>6316.5</v>
      </c>
    </row>
    <row r="199" spans="1:11" x14ac:dyDescent="0.25">
      <c r="A199" s="88" t="s">
        <v>99</v>
      </c>
      <c r="C199" s="88" t="s">
        <v>84</v>
      </c>
      <c r="D199" s="90" t="s">
        <v>4</v>
      </c>
      <c r="E199" s="98" t="s">
        <v>84</v>
      </c>
      <c r="G199" s="90">
        <v>8393</v>
      </c>
      <c r="H199" s="93">
        <v>40544</v>
      </c>
      <c r="I199" s="89">
        <v>1253.68</v>
      </c>
      <c r="J199" s="94">
        <f t="shared" si="3"/>
        <v>3.0027397260273974</v>
      </c>
      <c r="K199" s="89">
        <f>ROUND($I199*(1+Preferred_Return_Rate)^tblPref[[#This Row],[Pref Period in Years]]-I199,2)</f>
        <v>156.69</v>
      </c>
    </row>
    <row r="200" spans="1:11" x14ac:dyDescent="0.25">
      <c r="A200" s="88" t="s">
        <v>99</v>
      </c>
      <c r="C200" s="88" t="s">
        <v>84</v>
      </c>
      <c r="D200" s="90" t="s">
        <v>4</v>
      </c>
      <c r="E200" s="98" t="s">
        <v>84</v>
      </c>
      <c r="G200" s="90">
        <v>8393</v>
      </c>
      <c r="H200" s="93">
        <v>40564</v>
      </c>
      <c r="I200" s="89">
        <v>15161.18</v>
      </c>
      <c r="J200" s="94">
        <f t="shared" si="3"/>
        <v>2.9479452054794519</v>
      </c>
      <c r="K200" s="89">
        <f>ROUND($I200*(1+Preferred_Return_Rate)^tblPref[[#This Row],[Pref Period in Years]]-I200,2)</f>
        <v>1858.3</v>
      </c>
    </row>
    <row r="201" spans="1:11" x14ac:dyDescent="0.25">
      <c r="A201" s="88" t="s">
        <v>99</v>
      </c>
      <c r="C201" s="88" t="s">
        <v>84</v>
      </c>
      <c r="D201" s="90" t="s">
        <v>4</v>
      </c>
      <c r="E201" s="98" t="s">
        <v>84</v>
      </c>
      <c r="G201" s="90">
        <v>8393</v>
      </c>
      <c r="H201" s="93">
        <v>40585</v>
      </c>
      <c r="I201" s="89">
        <v>6825.6</v>
      </c>
      <c r="J201" s="94">
        <f t="shared" si="3"/>
        <v>2.8904109589041096</v>
      </c>
      <c r="K201" s="89">
        <f>ROUND($I201*(1+Preferred_Return_Rate)^tblPref[[#This Row],[Pref Period in Years]]-I201,2)</f>
        <v>819.34</v>
      </c>
    </row>
    <row r="202" spans="1:11" x14ac:dyDescent="0.25">
      <c r="A202" s="88" t="s">
        <v>99</v>
      </c>
      <c r="C202" s="88" t="s">
        <v>84</v>
      </c>
      <c r="D202" s="90" t="s">
        <v>4</v>
      </c>
      <c r="E202" s="98" t="s">
        <v>84</v>
      </c>
      <c r="G202" s="90">
        <v>8393</v>
      </c>
      <c r="H202" s="93">
        <v>40589</v>
      </c>
      <c r="I202" s="89">
        <v>16715.75</v>
      </c>
      <c r="J202" s="94">
        <f t="shared" si="3"/>
        <v>2.8794520547945206</v>
      </c>
      <c r="K202" s="89">
        <f>ROUND($I202*(1+Preferred_Return_Rate)^tblPref[[#This Row],[Pref Period in Years]]-I202,2)</f>
        <v>1998.51</v>
      </c>
    </row>
    <row r="203" spans="1:11" x14ac:dyDescent="0.25">
      <c r="A203" s="88" t="s">
        <v>99</v>
      </c>
      <c r="C203" s="88" t="s">
        <v>84</v>
      </c>
      <c r="D203" s="90" t="s">
        <v>4</v>
      </c>
      <c r="E203" s="98" t="s">
        <v>84</v>
      </c>
      <c r="G203" s="90">
        <v>8393</v>
      </c>
      <c r="H203" s="93">
        <v>40662</v>
      </c>
      <c r="I203" s="89">
        <v>14757.22</v>
      </c>
      <c r="J203" s="94">
        <f t="shared" si="3"/>
        <v>2.6794520547945204</v>
      </c>
      <c r="K203" s="89">
        <f>ROUND($I203*(1+Preferred_Return_Rate)^tblPref[[#This Row],[Pref Period in Years]]-I203,2)</f>
        <v>1635.26</v>
      </c>
    </row>
    <row r="204" spans="1:11" x14ac:dyDescent="0.25">
      <c r="A204" s="88" t="s">
        <v>99</v>
      </c>
      <c r="C204" s="88" t="s">
        <v>84</v>
      </c>
      <c r="D204" s="90" t="s">
        <v>4</v>
      </c>
      <c r="E204" s="98" t="s">
        <v>84</v>
      </c>
      <c r="G204" s="90">
        <v>8393</v>
      </c>
      <c r="H204" s="93">
        <v>40745</v>
      </c>
      <c r="I204" s="89">
        <v>27859.58</v>
      </c>
      <c r="J204" s="94">
        <f t="shared" si="3"/>
        <v>2.452054794520548</v>
      </c>
      <c r="K204" s="89">
        <f>ROUND($I204*(1+Preferred_Return_Rate)^tblPref[[#This Row],[Pref Period in Years]]-I204,2)</f>
        <v>2812.36</v>
      </c>
    </row>
    <row r="205" spans="1:11" x14ac:dyDescent="0.25">
      <c r="A205" s="88" t="s">
        <v>99</v>
      </c>
      <c r="C205" s="88" t="s">
        <v>84</v>
      </c>
      <c r="D205" s="90" t="s">
        <v>4</v>
      </c>
      <c r="E205" s="98" t="s">
        <v>84</v>
      </c>
      <c r="G205" s="90">
        <v>8393</v>
      </c>
      <c r="H205" s="93">
        <v>40792</v>
      </c>
      <c r="I205" s="89">
        <v>6964.89</v>
      </c>
      <c r="J205" s="94">
        <f t="shared" si="3"/>
        <v>2.3232876712328765</v>
      </c>
      <c r="K205" s="89">
        <f>ROUND($I205*(1+Preferred_Return_Rate)^tblPref[[#This Row],[Pref Period in Years]]-I205,2)</f>
        <v>664.46</v>
      </c>
    </row>
    <row r="206" spans="1:11" x14ac:dyDescent="0.25">
      <c r="A206" s="88" t="s">
        <v>99</v>
      </c>
      <c r="C206" s="88" t="s">
        <v>84</v>
      </c>
      <c r="D206" s="90" t="s">
        <v>4</v>
      </c>
      <c r="E206" s="98" t="s">
        <v>84</v>
      </c>
      <c r="G206" s="90">
        <v>8393</v>
      </c>
      <c r="H206" s="93">
        <v>40857</v>
      </c>
      <c r="I206" s="89">
        <v>2228.77</v>
      </c>
      <c r="J206" s="94">
        <f t="shared" si="3"/>
        <v>2.1452054794520548</v>
      </c>
      <c r="K206" s="89">
        <f>ROUND($I206*(1+Preferred_Return_Rate)^tblPref[[#This Row],[Pref Period in Years]]-I206,2)</f>
        <v>195.64</v>
      </c>
    </row>
    <row r="207" spans="1:11" x14ac:dyDescent="0.25">
      <c r="A207" s="88" t="s">
        <v>99</v>
      </c>
      <c r="C207" s="88" t="s">
        <v>84</v>
      </c>
      <c r="D207" s="90" t="s">
        <v>4</v>
      </c>
      <c r="E207" s="98" t="s">
        <v>84</v>
      </c>
      <c r="G207" s="90">
        <v>8393</v>
      </c>
      <c r="H207" s="93">
        <v>40909</v>
      </c>
      <c r="I207" s="89">
        <v>835.79</v>
      </c>
      <c r="J207" s="94">
        <f t="shared" si="3"/>
        <v>2.0027397260273974</v>
      </c>
      <c r="K207" s="89">
        <f>ROUND($I207*(1+Preferred_Return_Rate)^tblPref[[#This Row],[Pref Period in Years]]-I207,2)</f>
        <v>68.3</v>
      </c>
    </row>
    <row r="208" spans="1:11" x14ac:dyDescent="0.25">
      <c r="A208" s="88" t="s">
        <v>99</v>
      </c>
      <c r="C208" s="88" t="s">
        <v>84</v>
      </c>
      <c r="D208" s="90" t="s">
        <v>4</v>
      </c>
      <c r="E208" s="98" t="s">
        <v>84</v>
      </c>
      <c r="G208" s="90">
        <v>8393</v>
      </c>
      <c r="H208" s="93">
        <v>40940</v>
      </c>
      <c r="I208" s="89">
        <v>10308.049999999999</v>
      </c>
      <c r="J208" s="94">
        <f t="shared" si="3"/>
        <v>1.9178082191780821</v>
      </c>
      <c r="K208" s="89">
        <f>ROUND($I208*(1+Preferred_Return_Rate)^tblPref[[#This Row],[Pref Period in Years]]-I208,2)</f>
        <v>805.25</v>
      </c>
    </row>
    <row r="209" spans="1:11" x14ac:dyDescent="0.25">
      <c r="A209" s="88" t="s">
        <v>99</v>
      </c>
      <c r="C209" s="88" t="s">
        <v>84</v>
      </c>
      <c r="D209" s="90" t="s">
        <v>4</v>
      </c>
      <c r="E209" s="98" t="s">
        <v>84</v>
      </c>
      <c r="G209" s="90">
        <v>8393</v>
      </c>
      <c r="H209" s="93">
        <v>41080</v>
      </c>
      <c r="I209" s="89">
        <v>2089.4699999999998</v>
      </c>
      <c r="J209" s="94">
        <f t="shared" si="3"/>
        <v>1.5342465753424657</v>
      </c>
      <c r="K209" s="89">
        <f>ROUND($I209*(1+Preferred_Return_Rate)^tblPref[[#This Row],[Pref Period in Years]]-I209,2)</f>
        <v>129.59</v>
      </c>
    </row>
    <row r="210" spans="1:11" x14ac:dyDescent="0.25">
      <c r="A210" s="88" t="s">
        <v>99</v>
      </c>
      <c r="C210" s="88" t="s">
        <v>84</v>
      </c>
      <c r="D210" s="90" t="s">
        <v>4</v>
      </c>
      <c r="E210" s="98" t="s">
        <v>84</v>
      </c>
      <c r="G210" s="90">
        <v>8393</v>
      </c>
      <c r="H210" s="93">
        <v>41246</v>
      </c>
      <c r="I210" s="89">
        <v>13651.19</v>
      </c>
      <c r="J210" s="94">
        <f t="shared" si="3"/>
        <v>1.0794520547945206</v>
      </c>
      <c r="K210" s="89">
        <f>ROUND($I210*(1+Preferred_Return_Rate)^tblPref[[#This Row],[Pref Period in Years]]-I210,2)</f>
        <v>590.36</v>
      </c>
    </row>
    <row r="211" spans="1:11" x14ac:dyDescent="0.25">
      <c r="A211" s="88" t="s">
        <v>99</v>
      </c>
      <c r="C211" s="88" t="s">
        <v>84</v>
      </c>
      <c r="D211" s="90" t="s">
        <v>4</v>
      </c>
      <c r="E211" s="98" t="s">
        <v>84</v>
      </c>
      <c r="G211" s="90">
        <v>8393</v>
      </c>
      <c r="H211" s="93">
        <v>41275</v>
      </c>
      <c r="I211" s="89">
        <v>1392.98</v>
      </c>
      <c r="J211" s="94">
        <f t="shared" si="3"/>
        <v>1</v>
      </c>
      <c r="K211" s="89">
        <f>ROUND($I211*(1+Preferred_Return_Rate)^tblPref[[#This Row],[Pref Period in Years]]-I211,2)</f>
        <v>55.72</v>
      </c>
    </row>
    <row r="212" spans="1:11" x14ac:dyDescent="0.25">
      <c r="A212" s="88" t="s">
        <v>99</v>
      </c>
      <c r="C212" s="88" t="s">
        <v>84</v>
      </c>
      <c r="D212" s="90" t="s">
        <v>4</v>
      </c>
      <c r="E212" s="98" t="s">
        <v>84</v>
      </c>
      <c r="G212" s="90">
        <v>8393</v>
      </c>
      <c r="H212" s="93">
        <v>41316</v>
      </c>
      <c r="I212" s="89">
        <v>2758.1</v>
      </c>
      <c r="J212" s="94">
        <f t="shared" si="3"/>
        <v>0.88767123287671235</v>
      </c>
      <c r="K212" s="89">
        <f>ROUND($I212*(1+Preferred_Return_Rate)^tblPref[[#This Row],[Pref Period in Years]]-I212,2)</f>
        <v>97.71</v>
      </c>
    </row>
    <row r="213" spans="1:11" x14ac:dyDescent="0.25">
      <c r="A213" s="88" t="s">
        <v>99</v>
      </c>
      <c r="C213" s="88" t="s">
        <v>85</v>
      </c>
      <c r="D213" s="90" t="s">
        <v>4</v>
      </c>
      <c r="E213" s="98" t="s">
        <v>85</v>
      </c>
      <c r="G213" s="90">
        <v>8382</v>
      </c>
      <c r="H213" s="93">
        <v>40544</v>
      </c>
      <c r="I213" s="89">
        <v>30777.23</v>
      </c>
      <c r="J213" s="94">
        <f t="shared" si="3"/>
        <v>3.0027397260273974</v>
      </c>
      <c r="K213" s="89">
        <f>ROUND($I213*(1+Preferred_Return_Rate)^tblPref[[#This Row],[Pref Period in Years]]-I213,2)</f>
        <v>3846.69</v>
      </c>
    </row>
    <row r="214" spans="1:11" x14ac:dyDescent="0.25">
      <c r="A214" s="88" t="s">
        <v>99</v>
      </c>
      <c r="C214" s="88" t="s">
        <v>85</v>
      </c>
      <c r="D214" s="90" t="s">
        <v>4</v>
      </c>
      <c r="E214" s="98" t="s">
        <v>85</v>
      </c>
      <c r="G214" s="90">
        <v>8382</v>
      </c>
      <c r="H214" s="93">
        <v>40563</v>
      </c>
      <c r="I214" s="89">
        <v>162650.6</v>
      </c>
      <c r="J214" s="94">
        <f t="shared" si="3"/>
        <v>2.9506849315068493</v>
      </c>
      <c r="K214" s="89">
        <f>ROUND($I214*(1+Preferred_Return_Rate)^tblPref[[#This Row],[Pref Period in Years]]-I214,2)</f>
        <v>19955.669999999998</v>
      </c>
    </row>
    <row r="215" spans="1:11" x14ac:dyDescent="0.25">
      <c r="A215" s="88" t="s">
        <v>99</v>
      </c>
      <c r="C215" s="88" t="s">
        <v>85</v>
      </c>
      <c r="D215" s="90" t="s">
        <v>4</v>
      </c>
      <c r="E215" s="98" t="s">
        <v>85</v>
      </c>
      <c r="G215" s="90">
        <v>8382</v>
      </c>
      <c r="H215" s="93">
        <v>40564</v>
      </c>
      <c r="I215" s="89">
        <v>194657.64</v>
      </c>
      <c r="J215" s="94">
        <f t="shared" si="3"/>
        <v>2.9479452054794519</v>
      </c>
      <c r="K215" s="89">
        <f>ROUND($I215*(1+Preferred_Return_Rate)^tblPref[[#This Row],[Pref Period in Years]]-I215,2)</f>
        <v>23859.15</v>
      </c>
    </row>
    <row r="216" spans="1:11" x14ac:dyDescent="0.25">
      <c r="A216" s="88" t="s">
        <v>99</v>
      </c>
      <c r="C216" s="88" t="s">
        <v>85</v>
      </c>
      <c r="D216" s="90" t="s">
        <v>4</v>
      </c>
      <c r="E216" s="98" t="s">
        <v>85</v>
      </c>
      <c r="G216" s="90">
        <v>8382</v>
      </c>
      <c r="H216" s="93">
        <v>40585</v>
      </c>
      <c r="I216" s="89">
        <v>87635.29</v>
      </c>
      <c r="J216" s="94">
        <f t="shared" si="3"/>
        <v>2.8904109589041096</v>
      </c>
      <c r="K216" s="89">
        <f>ROUND($I216*(1+Preferred_Return_Rate)^tblPref[[#This Row],[Pref Period in Years]]-I216,2)</f>
        <v>10519.7</v>
      </c>
    </row>
    <row r="217" spans="1:11" x14ac:dyDescent="0.25">
      <c r="A217" s="88" t="s">
        <v>99</v>
      </c>
      <c r="C217" s="88" t="s">
        <v>85</v>
      </c>
      <c r="D217" s="90" t="s">
        <v>4</v>
      </c>
      <c r="E217" s="98" t="s">
        <v>85</v>
      </c>
      <c r="G217" s="90">
        <v>8382</v>
      </c>
      <c r="H217" s="93">
        <v>40589</v>
      </c>
      <c r="I217" s="89">
        <v>214617.03</v>
      </c>
      <c r="J217" s="94">
        <f t="shared" si="3"/>
        <v>2.8794520547945206</v>
      </c>
      <c r="K217" s="89">
        <f>ROUND($I217*(1+Preferred_Return_Rate)^tblPref[[#This Row],[Pref Period in Years]]-I217,2)</f>
        <v>25659.23</v>
      </c>
    </row>
    <row r="218" spans="1:11" x14ac:dyDescent="0.25">
      <c r="A218" s="88" t="s">
        <v>99</v>
      </c>
      <c r="C218" s="88" t="s">
        <v>85</v>
      </c>
      <c r="D218" s="90" t="s">
        <v>4</v>
      </c>
      <c r="E218" s="98" t="s">
        <v>85</v>
      </c>
      <c r="G218" s="90">
        <v>8382</v>
      </c>
      <c r="H218" s="93">
        <v>40661</v>
      </c>
      <c r="I218" s="89">
        <v>108433.73</v>
      </c>
      <c r="J218" s="94">
        <f t="shared" si="3"/>
        <v>2.6821917808219178</v>
      </c>
      <c r="K218" s="89">
        <f>ROUND($I218*(1+Preferred_Return_Rate)^tblPref[[#This Row],[Pref Period in Years]]-I218,2)</f>
        <v>12028.55</v>
      </c>
    </row>
    <row r="219" spans="1:11" x14ac:dyDescent="0.25">
      <c r="A219" s="88" t="s">
        <v>99</v>
      </c>
      <c r="C219" s="88" t="s">
        <v>85</v>
      </c>
      <c r="D219" s="90" t="s">
        <v>4</v>
      </c>
      <c r="E219" s="98" t="s">
        <v>85</v>
      </c>
      <c r="G219" s="90">
        <v>8382</v>
      </c>
      <c r="H219" s="93">
        <v>40662</v>
      </c>
      <c r="I219" s="89">
        <v>189471.07</v>
      </c>
      <c r="J219" s="94">
        <f t="shared" si="3"/>
        <v>2.6794520547945204</v>
      </c>
      <c r="K219" s="89">
        <f>ROUND($I219*(1+Preferred_Return_Rate)^tblPref[[#This Row],[Pref Period in Years]]-I219,2)</f>
        <v>20995.4</v>
      </c>
    </row>
    <row r="220" spans="1:11" x14ac:dyDescent="0.25">
      <c r="A220" s="88" t="s">
        <v>99</v>
      </c>
      <c r="C220" s="88" t="s">
        <v>85</v>
      </c>
      <c r="D220" s="90" t="s">
        <v>4</v>
      </c>
      <c r="E220" s="98" t="s">
        <v>85</v>
      </c>
      <c r="G220" s="90">
        <v>8382</v>
      </c>
      <c r="H220" s="93">
        <v>40745</v>
      </c>
      <c r="I220" s="89">
        <v>874562.5</v>
      </c>
      <c r="J220" s="94">
        <f t="shared" si="3"/>
        <v>2.452054794520548</v>
      </c>
      <c r="K220" s="89">
        <f>ROUND($I220*(1+Preferred_Return_Rate)^tblPref[[#This Row],[Pref Period in Years]]-I220,2)</f>
        <v>88285.06</v>
      </c>
    </row>
    <row r="221" spans="1:11" x14ac:dyDescent="0.25">
      <c r="A221" s="88" t="s">
        <v>99</v>
      </c>
      <c r="C221" s="88" t="s">
        <v>85</v>
      </c>
      <c r="D221" s="90" t="s">
        <v>4</v>
      </c>
      <c r="E221" s="98" t="s">
        <v>85</v>
      </c>
      <c r="G221" s="90">
        <v>8382</v>
      </c>
      <c r="H221" s="93">
        <v>40792</v>
      </c>
      <c r="I221" s="89">
        <v>179785.21</v>
      </c>
      <c r="J221" s="94">
        <f t="shared" si="3"/>
        <v>2.3232876712328765</v>
      </c>
      <c r="K221" s="89">
        <f>ROUND($I221*(1+Preferred_Return_Rate)^tblPref[[#This Row],[Pref Period in Years]]-I221,2)</f>
        <v>17151.79</v>
      </c>
    </row>
    <row r="222" spans="1:11" x14ac:dyDescent="0.25">
      <c r="A222" s="88" t="s">
        <v>99</v>
      </c>
      <c r="C222" s="88" t="s">
        <v>85</v>
      </c>
      <c r="D222" s="90" t="s">
        <v>4</v>
      </c>
      <c r="E222" s="98" t="s">
        <v>85</v>
      </c>
      <c r="G222" s="90">
        <v>8382</v>
      </c>
      <c r="H222" s="93">
        <v>40857</v>
      </c>
      <c r="I222" s="89">
        <v>82832.47</v>
      </c>
      <c r="J222" s="94">
        <f t="shared" si="3"/>
        <v>2.1452054794520548</v>
      </c>
      <c r="K222" s="89">
        <f>ROUND($I222*(1+Preferred_Return_Rate)^tblPref[[#This Row],[Pref Period in Years]]-I222,2)</f>
        <v>7270.81</v>
      </c>
    </row>
    <row r="223" spans="1:11" x14ac:dyDescent="0.25">
      <c r="A223" s="88" t="s">
        <v>99</v>
      </c>
      <c r="C223" s="88" t="s">
        <v>85</v>
      </c>
      <c r="D223" s="90" t="s">
        <v>4</v>
      </c>
      <c r="E223" s="98" t="s">
        <v>85</v>
      </c>
      <c r="G223" s="90">
        <v>8382</v>
      </c>
      <c r="H223" s="93">
        <v>40909</v>
      </c>
      <c r="I223" s="89">
        <v>23559.95</v>
      </c>
      <c r="J223" s="94">
        <f t="shared" si="3"/>
        <v>2.0027397260273974</v>
      </c>
      <c r="K223" s="89">
        <f>ROUND($I223*(1+Preferred_Return_Rate)^tblPref[[#This Row],[Pref Period in Years]]-I223,2)</f>
        <v>1925.23</v>
      </c>
    </row>
    <row r="224" spans="1:11" x14ac:dyDescent="0.25">
      <c r="A224" s="88" t="s">
        <v>99</v>
      </c>
      <c r="C224" s="88" t="s">
        <v>85</v>
      </c>
      <c r="D224" s="90" t="s">
        <v>4</v>
      </c>
      <c r="E224" s="98" t="s">
        <v>85</v>
      </c>
      <c r="G224" s="90">
        <v>8382</v>
      </c>
      <c r="H224" s="93">
        <v>40940</v>
      </c>
      <c r="I224" s="89">
        <v>266082.11</v>
      </c>
      <c r="J224" s="94">
        <f t="shared" si="3"/>
        <v>1.9178082191780821</v>
      </c>
      <c r="K224" s="89">
        <f>ROUND($I224*(1+Preferred_Return_Rate)^tblPref[[#This Row],[Pref Period in Years]]-I224,2)</f>
        <v>20786.05</v>
      </c>
    </row>
    <row r="225" spans="1:11" x14ac:dyDescent="0.25">
      <c r="A225" s="88" t="s">
        <v>99</v>
      </c>
      <c r="C225" s="88" t="s">
        <v>85</v>
      </c>
      <c r="D225" s="90" t="s">
        <v>4</v>
      </c>
      <c r="E225" s="98" t="s">
        <v>85</v>
      </c>
      <c r="G225" s="90">
        <v>8382</v>
      </c>
      <c r="H225" s="93">
        <v>41047</v>
      </c>
      <c r="I225" s="89">
        <v>216867.47</v>
      </c>
      <c r="J225" s="94">
        <f t="shared" si="3"/>
        <v>1.6246575342465754</v>
      </c>
      <c r="K225" s="89">
        <f>ROUND($I225*(1+Preferred_Return_Rate)^tblPref[[#This Row],[Pref Period in Years]]-I225,2)</f>
        <v>14268.62</v>
      </c>
    </row>
    <row r="226" spans="1:11" x14ac:dyDescent="0.25">
      <c r="A226" s="88" t="s">
        <v>99</v>
      </c>
      <c r="C226" s="88" t="s">
        <v>85</v>
      </c>
      <c r="D226" s="90" t="s">
        <v>4</v>
      </c>
      <c r="E226" s="98" t="s">
        <v>85</v>
      </c>
      <c r="G226" s="90">
        <v>8382</v>
      </c>
      <c r="H226" s="93">
        <v>41080</v>
      </c>
      <c r="I226" s="89">
        <v>26827.13</v>
      </c>
      <c r="J226" s="94">
        <f t="shared" si="3"/>
        <v>1.5342465753424657</v>
      </c>
      <c r="K226" s="89">
        <f>ROUND($I226*(1+Preferred_Return_Rate)^tblPref[[#This Row],[Pref Period in Years]]-I226,2)</f>
        <v>1663.86</v>
      </c>
    </row>
    <row r="227" spans="1:11" x14ac:dyDescent="0.25">
      <c r="A227" s="88" t="s">
        <v>99</v>
      </c>
      <c r="C227" s="88" t="s">
        <v>85</v>
      </c>
      <c r="D227" s="90" t="s">
        <v>4</v>
      </c>
      <c r="E227" s="98" t="s">
        <v>85</v>
      </c>
      <c r="G227" s="90">
        <v>8382</v>
      </c>
      <c r="H227" s="93">
        <v>41141</v>
      </c>
      <c r="I227" s="89">
        <v>36144.58</v>
      </c>
      <c r="J227" s="94">
        <f t="shared" si="3"/>
        <v>1.3671232876712329</v>
      </c>
      <c r="K227" s="89">
        <f>ROUND($I227*(1+Preferred_Return_Rate)^tblPref[[#This Row],[Pref Period in Years]]-I227,2)</f>
        <v>1990.96</v>
      </c>
    </row>
    <row r="228" spans="1:11" x14ac:dyDescent="0.25">
      <c r="A228" s="88" t="s">
        <v>99</v>
      </c>
      <c r="C228" s="88" t="s">
        <v>85</v>
      </c>
      <c r="D228" s="90" t="s">
        <v>4</v>
      </c>
      <c r="E228" s="98" t="s">
        <v>85</v>
      </c>
      <c r="G228" s="90">
        <v>8382</v>
      </c>
      <c r="H228" s="93">
        <v>41246</v>
      </c>
      <c r="I228" s="89">
        <v>352379</v>
      </c>
      <c r="J228" s="94">
        <f t="shared" si="3"/>
        <v>1.0794520547945206</v>
      </c>
      <c r="K228" s="89">
        <f>ROUND($I228*(1+Preferred_Return_Rate)^tblPref[[#This Row],[Pref Period in Years]]-I228,2)</f>
        <v>15238.94</v>
      </c>
    </row>
    <row r="229" spans="1:11" x14ac:dyDescent="0.25">
      <c r="A229" s="88" t="s">
        <v>99</v>
      </c>
      <c r="C229" s="88" t="s">
        <v>85</v>
      </c>
      <c r="D229" s="90" t="s">
        <v>4</v>
      </c>
      <c r="E229" s="98" t="s">
        <v>85</v>
      </c>
      <c r="G229" s="90">
        <v>8382</v>
      </c>
      <c r="H229" s="93">
        <v>41275</v>
      </c>
      <c r="I229" s="89">
        <v>33491.629999999997</v>
      </c>
      <c r="J229" s="94">
        <f t="shared" si="3"/>
        <v>1</v>
      </c>
      <c r="K229" s="89">
        <f>ROUND($I229*(1+Preferred_Return_Rate)^tblPref[[#This Row],[Pref Period in Years]]-I229,2)</f>
        <v>1339.67</v>
      </c>
    </row>
    <row r="230" spans="1:11" x14ac:dyDescent="0.25">
      <c r="A230" s="88" t="s">
        <v>99</v>
      </c>
      <c r="C230" s="88" t="s">
        <v>85</v>
      </c>
      <c r="D230" s="90" t="s">
        <v>4</v>
      </c>
      <c r="E230" s="98" t="s">
        <v>85</v>
      </c>
      <c r="G230" s="90">
        <v>8382</v>
      </c>
      <c r="H230" s="93">
        <v>41316</v>
      </c>
      <c r="I230" s="89">
        <v>160110.60999999999</v>
      </c>
      <c r="J230" s="94">
        <f t="shared" si="3"/>
        <v>0.88767123287671235</v>
      </c>
      <c r="K230" s="89">
        <f>ROUND($I230*(1+Preferred_Return_Rate)^tblPref[[#This Row],[Pref Period in Years]]-I230,2)</f>
        <v>5672.44</v>
      </c>
    </row>
    <row r="231" spans="1:11" x14ac:dyDescent="0.25">
      <c r="A231" s="88" t="s">
        <v>99</v>
      </c>
      <c r="C231" s="88" t="s">
        <v>86</v>
      </c>
      <c r="D231" s="90" t="s">
        <v>4</v>
      </c>
      <c r="E231" s="98" t="s">
        <v>86</v>
      </c>
      <c r="G231" s="90">
        <v>8403</v>
      </c>
      <c r="H231" s="93">
        <v>40544</v>
      </c>
      <c r="I231" s="89">
        <v>64385.11</v>
      </c>
      <c r="J231" s="94">
        <f t="shared" si="3"/>
        <v>3.0027397260273974</v>
      </c>
      <c r="K231" s="89">
        <f>ROUND($I231*(1+Preferred_Return_Rate)^tblPref[[#This Row],[Pref Period in Years]]-I231,2)</f>
        <v>8047.17</v>
      </c>
    </row>
    <row r="232" spans="1:11" x14ac:dyDescent="0.25">
      <c r="A232" s="88" t="s">
        <v>99</v>
      </c>
      <c r="C232" s="88" t="s">
        <v>86</v>
      </c>
      <c r="D232" s="90" t="s">
        <v>4</v>
      </c>
      <c r="E232" s="98" t="s">
        <v>86</v>
      </c>
      <c r="G232" s="90">
        <v>8403</v>
      </c>
      <c r="H232" s="93">
        <v>40564</v>
      </c>
      <c r="I232" s="89">
        <v>778630.58</v>
      </c>
      <c r="J232" s="94">
        <f t="shared" si="3"/>
        <v>2.9479452054794519</v>
      </c>
      <c r="K232" s="89">
        <f>ROUND($I232*(1+Preferred_Return_Rate)^tblPref[[#This Row],[Pref Period in Years]]-I232,2)</f>
        <v>95436.59</v>
      </c>
    </row>
    <row r="233" spans="1:11" x14ac:dyDescent="0.25">
      <c r="A233" s="88" t="s">
        <v>99</v>
      </c>
      <c r="C233" s="88" t="s">
        <v>86</v>
      </c>
      <c r="D233" s="90" t="s">
        <v>4</v>
      </c>
      <c r="E233" s="98" t="s">
        <v>86</v>
      </c>
      <c r="G233" s="90">
        <v>8403</v>
      </c>
      <c r="H233" s="93">
        <v>40585</v>
      </c>
      <c r="I233" s="89">
        <v>350541.15</v>
      </c>
      <c r="J233" s="94">
        <f t="shared" si="3"/>
        <v>2.8904109589041096</v>
      </c>
      <c r="K233" s="89">
        <f>ROUND($I233*(1+Preferred_Return_Rate)^tblPref[[#This Row],[Pref Period in Years]]-I233,2)</f>
        <v>42078.79</v>
      </c>
    </row>
    <row r="234" spans="1:11" x14ac:dyDescent="0.25">
      <c r="A234" s="88" t="s">
        <v>99</v>
      </c>
      <c r="C234" s="88" t="s">
        <v>86</v>
      </c>
      <c r="D234" s="90" t="s">
        <v>4</v>
      </c>
      <c r="E234" s="98" t="s">
        <v>86</v>
      </c>
      <c r="G234" s="90">
        <v>8403</v>
      </c>
      <c r="H234" s="93">
        <v>40589</v>
      </c>
      <c r="I234" s="89">
        <v>858468.11</v>
      </c>
      <c r="J234" s="94">
        <f t="shared" si="3"/>
        <v>2.8794520547945206</v>
      </c>
      <c r="K234" s="89">
        <f>ROUND($I234*(1+Preferred_Return_Rate)^tblPref[[#This Row],[Pref Period in Years]]-I234,2)</f>
        <v>102636.92</v>
      </c>
    </row>
    <row r="235" spans="1:11" x14ac:dyDescent="0.25">
      <c r="A235" s="88" t="s">
        <v>99</v>
      </c>
      <c r="C235" s="88" t="s">
        <v>86</v>
      </c>
      <c r="D235" s="90" t="s">
        <v>4</v>
      </c>
      <c r="E235" s="98" t="s">
        <v>86</v>
      </c>
      <c r="G235" s="90">
        <v>8403</v>
      </c>
      <c r="H235" s="93">
        <v>40662</v>
      </c>
      <c r="I235" s="89">
        <v>757884.26</v>
      </c>
      <c r="J235" s="94">
        <f t="shared" si="3"/>
        <v>2.6794520547945204</v>
      </c>
      <c r="K235" s="89">
        <f>ROUND($I235*(1+Preferred_Return_Rate)^tblPref[[#This Row],[Pref Period in Years]]-I235,2)</f>
        <v>83981.61</v>
      </c>
    </row>
    <row r="236" spans="1:11" x14ac:dyDescent="0.25">
      <c r="A236" s="88" t="s">
        <v>99</v>
      </c>
      <c r="C236" s="88" t="s">
        <v>86</v>
      </c>
      <c r="D236" s="90" t="s">
        <v>4</v>
      </c>
      <c r="E236" s="98" t="s">
        <v>86</v>
      </c>
      <c r="G236" s="90">
        <v>8403</v>
      </c>
      <c r="H236" s="93">
        <v>40745</v>
      </c>
      <c r="I236" s="89">
        <v>1430780.2</v>
      </c>
      <c r="J236" s="94">
        <f t="shared" si="3"/>
        <v>2.452054794520548</v>
      </c>
      <c r="K236" s="89">
        <f>ROUND($I236*(1+Preferred_Return_Rate)^tblPref[[#This Row],[Pref Period in Years]]-I236,2)</f>
        <v>144433.94</v>
      </c>
    </row>
    <row r="237" spans="1:11" x14ac:dyDescent="0.25">
      <c r="A237" s="88" t="s">
        <v>99</v>
      </c>
      <c r="C237" s="88" t="s">
        <v>86</v>
      </c>
      <c r="D237" s="90" t="s">
        <v>4</v>
      </c>
      <c r="E237" s="98" t="s">
        <v>86</v>
      </c>
      <c r="G237" s="90">
        <v>8403</v>
      </c>
      <c r="H237" s="93">
        <v>40792</v>
      </c>
      <c r="I237" s="89">
        <v>357695.05</v>
      </c>
      <c r="J237" s="94">
        <f t="shared" si="3"/>
        <v>2.3232876712328765</v>
      </c>
      <c r="K237" s="89">
        <f>ROUND($I237*(1+Preferred_Return_Rate)^tblPref[[#This Row],[Pref Period in Years]]-I237,2)</f>
        <v>34124.660000000003</v>
      </c>
    </row>
    <row r="238" spans="1:11" x14ac:dyDescent="0.25">
      <c r="A238" s="88" t="s">
        <v>99</v>
      </c>
      <c r="C238" s="88" t="s">
        <v>86</v>
      </c>
      <c r="D238" s="90" t="s">
        <v>4</v>
      </c>
      <c r="E238" s="98" t="s">
        <v>86</v>
      </c>
      <c r="G238" s="90">
        <v>8403</v>
      </c>
      <c r="H238" s="93">
        <v>40857</v>
      </c>
      <c r="I238" s="89">
        <v>114462.41</v>
      </c>
      <c r="J238" s="94">
        <f t="shared" si="3"/>
        <v>2.1452054794520548</v>
      </c>
      <c r="K238" s="89">
        <f>ROUND($I238*(1+Preferred_Return_Rate)^tblPref[[#This Row],[Pref Period in Years]]-I238,2)</f>
        <v>10047.209999999999</v>
      </c>
    </row>
    <row r="239" spans="1:11" x14ac:dyDescent="0.25">
      <c r="A239" s="88" t="s">
        <v>99</v>
      </c>
      <c r="C239" s="88" t="s">
        <v>86</v>
      </c>
      <c r="D239" s="90" t="s">
        <v>4</v>
      </c>
      <c r="E239" s="98" t="s">
        <v>86</v>
      </c>
      <c r="G239" s="90">
        <v>8403</v>
      </c>
      <c r="H239" s="93">
        <v>40909</v>
      </c>
      <c r="I239" s="89">
        <v>42923.41</v>
      </c>
      <c r="J239" s="94">
        <f t="shared" si="3"/>
        <v>2.0027397260273974</v>
      </c>
      <c r="K239" s="89">
        <f>ROUND($I239*(1+Preferred_Return_Rate)^tblPref[[#This Row],[Pref Period in Years]]-I239,2)</f>
        <v>3507.54</v>
      </c>
    </row>
    <row r="240" spans="1:11" x14ac:dyDescent="0.25">
      <c r="A240" s="88" t="s">
        <v>99</v>
      </c>
      <c r="C240" s="88" t="s">
        <v>86</v>
      </c>
      <c r="D240" s="90" t="s">
        <v>4</v>
      </c>
      <c r="E240" s="98" t="s">
        <v>86</v>
      </c>
      <c r="G240" s="90">
        <v>8403</v>
      </c>
      <c r="H240" s="93">
        <v>40940</v>
      </c>
      <c r="I240" s="89">
        <v>529388.67000000004</v>
      </c>
      <c r="J240" s="94">
        <f t="shared" si="3"/>
        <v>1.9178082191780821</v>
      </c>
      <c r="K240" s="89">
        <f>ROUND($I240*(1+Preferred_Return_Rate)^tblPref[[#This Row],[Pref Period in Years]]-I240,2)</f>
        <v>41355.279999999999</v>
      </c>
    </row>
    <row r="241" spans="1:11" x14ac:dyDescent="0.25">
      <c r="A241" s="88" t="s">
        <v>99</v>
      </c>
      <c r="C241" s="88" t="s">
        <v>86</v>
      </c>
      <c r="D241" s="90" t="s">
        <v>4</v>
      </c>
      <c r="E241" s="98" t="s">
        <v>86</v>
      </c>
      <c r="G241" s="90">
        <v>8403</v>
      </c>
      <c r="H241" s="93">
        <v>41080</v>
      </c>
      <c r="I241" s="89">
        <v>107308.51</v>
      </c>
      <c r="J241" s="94">
        <f t="shared" si="3"/>
        <v>1.5342465753424657</v>
      </c>
      <c r="K241" s="89">
        <f>ROUND($I241*(1+Preferred_Return_Rate)^tblPref[[#This Row],[Pref Period in Years]]-I241,2)</f>
        <v>6655.44</v>
      </c>
    </row>
    <row r="242" spans="1:11" x14ac:dyDescent="0.25">
      <c r="A242" s="88" t="s">
        <v>99</v>
      </c>
      <c r="C242" s="88" t="s">
        <v>86</v>
      </c>
      <c r="D242" s="90" t="s">
        <v>4</v>
      </c>
      <c r="E242" s="98" t="s">
        <v>86</v>
      </c>
      <c r="G242" s="90">
        <v>8403</v>
      </c>
      <c r="H242" s="93">
        <v>41246</v>
      </c>
      <c r="I242" s="89">
        <v>701082.29</v>
      </c>
      <c r="J242" s="94">
        <f t="shared" si="3"/>
        <v>1.0794520547945206</v>
      </c>
      <c r="K242" s="89">
        <f>ROUND($I242*(1+Preferred_Return_Rate)^tblPref[[#This Row],[Pref Period in Years]]-I242,2)</f>
        <v>30318.91</v>
      </c>
    </row>
    <row r="243" spans="1:11" x14ac:dyDescent="0.25">
      <c r="A243" s="88" t="s">
        <v>99</v>
      </c>
      <c r="C243" s="88" t="s">
        <v>86</v>
      </c>
      <c r="D243" s="90" t="s">
        <v>4</v>
      </c>
      <c r="E243" s="98" t="s">
        <v>86</v>
      </c>
      <c r="G243" s="90">
        <v>8403</v>
      </c>
      <c r="H243" s="93">
        <v>41275</v>
      </c>
      <c r="I243" s="89">
        <v>71539.009999999995</v>
      </c>
      <c r="J243" s="94">
        <f t="shared" si="3"/>
        <v>1</v>
      </c>
      <c r="K243" s="89">
        <f>ROUND($I243*(1+Preferred_Return_Rate)^tblPref[[#This Row],[Pref Period in Years]]-I243,2)</f>
        <v>2861.56</v>
      </c>
    </row>
    <row r="244" spans="1:11" x14ac:dyDescent="0.25">
      <c r="A244" s="88" t="s">
        <v>99</v>
      </c>
      <c r="C244" s="88" t="s">
        <v>86</v>
      </c>
      <c r="D244" s="90" t="s">
        <v>4</v>
      </c>
      <c r="E244" s="98" t="s">
        <v>86</v>
      </c>
      <c r="G244" s="90">
        <v>8403</v>
      </c>
      <c r="H244" s="93">
        <v>41316</v>
      </c>
      <c r="I244" s="89">
        <v>141647.24</v>
      </c>
      <c r="J244" s="94">
        <f t="shared" si="3"/>
        <v>0.88767123287671235</v>
      </c>
      <c r="K244" s="89">
        <f>ROUND($I244*(1+Preferred_Return_Rate)^tblPref[[#This Row],[Pref Period in Years]]-I244,2)</f>
        <v>5018.3100000000004</v>
      </c>
    </row>
    <row r="245" spans="1:11" x14ac:dyDescent="0.25">
      <c r="A245" s="88" t="s">
        <v>99</v>
      </c>
      <c r="C245" s="88" t="s">
        <v>87</v>
      </c>
      <c r="D245" s="90" t="s">
        <v>4</v>
      </c>
      <c r="E245" s="98" t="s">
        <v>87</v>
      </c>
      <c r="G245" s="90">
        <v>8367</v>
      </c>
      <c r="H245" s="93">
        <v>40544</v>
      </c>
      <c r="I245" s="89">
        <v>2936.19</v>
      </c>
      <c r="J245" s="94">
        <f t="shared" si="3"/>
        <v>3.0027397260273974</v>
      </c>
      <c r="K245" s="89">
        <f>ROUND($I245*(1+Preferred_Return_Rate)^tblPref[[#This Row],[Pref Period in Years]]-I245,2)</f>
        <v>366.98</v>
      </c>
    </row>
    <row r="246" spans="1:11" x14ac:dyDescent="0.25">
      <c r="A246" s="88" t="s">
        <v>99</v>
      </c>
      <c r="C246" s="88" t="s">
        <v>87</v>
      </c>
      <c r="D246" s="90" t="s">
        <v>4</v>
      </c>
      <c r="E246" s="98" t="s">
        <v>87</v>
      </c>
      <c r="G246" s="90">
        <v>8367</v>
      </c>
      <c r="H246" s="93">
        <v>40563</v>
      </c>
      <c r="I246" s="89">
        <v>32530.12</v>
      </c>
      <c r="J246" s="94">
        <f t="shared" si="3"/>
        <v>2.9506849315068493</v>
      </c>
      <c r="K246" s="89">
        <f>ROUND($I246*(1+Preferred_Return_Rate)^tblPref[[#This Row],[Pref Period in Years]]-I246,2)</f>
        <v>3991.13</v>
      </c>
    </row>
    <row r="247" spans="1:11" x14ac:dyDescent="0.25">
      <c r="A247" s="88" t="s">
        <v>99</v>
      </c>
      <c r="C247" s="88" t="s">
        <v>87</v>
      </c>
      <c r="D247" s="90" t="s">
        <v>4</v>
      </c>
      <c r="E247" s="98" t="s">
        <v>87</v>
      </c>
      <c r="G247" s="90">
        <v>8367</v>
      </c>
      <c r="H247" s="93">
        <v>40661</v>
      </c>
      <c r="I247" s="89">
        <v>21686.75</v>
      </c>
      <c r="J247" s="94">
        <f t="shared" si="3"/>
        <v>2.6821917808219178</v>
      </c>
      <c r="K247" s="89">
        <f>ROUND($I247*(1+Preferred_Return_Rate)^tblPref[[#This Row],[Pref Period in Years]]-I247,2)</f>
        <v>2405.71</v>
      </c>
    </row>
    <row r="248" spans="1:11" x14ac:dyDescent="0.25">
      <c r="A248" s="88" t="s">
        <v>99</v>
      </c>
      <c r="C248" s="88" t="s">
        <v>87</v>
      </c>
      <c r="D248" s="90" t="s">
        <v>4</v>
      </c>
      <c r="E248" s="98" t="s">
        <v>87</v>
      </c>
      <c r="G248" s="90">
        <v>8367</v>
      </c>
      <c r="H248" s="93">
        <v>40745</v>
      </c>
      <c r="I248" s="89">
        <v>103373.51</v>
      </c>
      <c r="J248" s="94">
        <f t="shared" si="3"/>
        <v>2.452054794520548</v>
      </c>
      <c r="K248" s="89">
        <f>ROUND($I248*(1+Preferred_Return_Rate)^tblPref[[#This Row],[Pref Period in Years]]-I248,2)</f>
        <v>10435.32</v>
      </c>
    </row>
    <row r="249" spans="1:11" x14ac:dyDescent="0.25">
      <c r="A249" s="88" t="s">
        <v>99</v>
      </c>
      <c r="C249" s="88" t="s">
        <v>87</v>
      </c>
      <c r="D249" s="90" t="s">
        <v>4</v>
      </c>
      <c r="E249" s="98" t="s">
        <v>87</v>
      </c>
      <c r="G249" s="90">
        <v>8367</v>
      </c>
      <c r="H249" s="93">
        <v>40792</v>
      </c>
      <c r="I249" s="89">
        <v>18072.29</v>
      </c>
      <c r="J249" s="94">
        <f t="shared" si="3"/>
        <v>2.3232876712328765</v>
      </c>
      <c r="K249" s="89">
        <f>ROUND($I249*(1+Preferred_Return_Rate)^tblPref[[#This Row],[Pref Period in Years]]-I249,2)</f>
        <v>1724.12</v>
      </c>
    </row>
    <row r="250" spans="1:11" x14ac:dyDescent="0.25">
      <c r="A250" s="88" t="s">
        <v>99</v>
      </c>
      <c r="C250" s="88" t="s">
        <v>87</v>
      </c>
      <c r="D250" s="90" t="s">
        <v>4</v>
      </c>
      <c r="E250" s="98" t="s">
        <v>87</v>
      </c>
      <c r="G250" s="90">
        <v>8367</v>
      </c>
      <c r="H250" s="93">
        <v>40857</v>
      </c>
      <c r="I250" s="89">
        <v>10843.37</v>
      </c>
      <c r="J250" s="94">
        <f t="shared" si="3"/>
        <v>2.1452054794520548</v>
      </c>
      <c r="K250" s="89">
        <f>ROUND($I250*(1+Preferred_Return_Rate)^tblPref[[#This Row],[Pref Period in Years]]-I250,2)</f>
        <v>951.8</v>
      </c>
    </row>
    <row r="251" spans="1:11" x14ac:dyDescent="0.25">
      <c r="A251" s="88" t="s">
        <v>99</v>
      </c>
      <c r="C251" s="88" t="s">
        <v>87</v>
      </c>
      <c r="D251" s="90" t="s">
        <v>4</v>
      </c>
      <c r="E251" s="98" t="s">
        <v>87</v>
      </c>
      <c r="G251" s="90">
        <v>8367</v>
      </c>
      <c r="H251" s="93">
        <v>40909</v>
      </c>
      <c r="I251" s="89">
        <v>2565.8200000000002</v>
      </c>
      <c r="J251" s="94">
        <f t="shared" si="3"/>
        <v>2.0027397260273974</v>
      </c>
      <c r="K251" s="89">
        <f>ROUND($I251*(1+Preferred_Return_Rate)^tblPref[[#This Row],[Pref Period in Years]]-I251,2)</f>
        <v>209.67</v>
      </c>
    </row>
    <row r="252" spans="1:11" x14ac:dyDescent="0.25">
      <c r="A252" s="88" t="s">
        <v>99</v>
      </c>
      <c r="C252" s="88" t="s">
        <v>87</v>
      </c>
      <c r="D252" s="90" t="s">
        <v>4</v>
      </c>
      <c r="E252" s="98" t="s">
        <v>87</v>
      </c>
      <c r="G252" s="90">
        <v>8367</v>
      </c>
      <c r="H252" s="93">
        <v>40940</v>
      </c>
      <c r="I252" s="89">
        <v>26746.98</v>
      </c>
      <c r="J252" s="94">
        <f t="shared" si="3"/>
        <v>1.9178082191780821</v>
      </c>
      <c r="K252" s="89">
        <f>ROUND($I252*(1+Preferred_Return_Rate)^tblPref[[#This Row],[Pref Period in Years]]-I252,2)</f>
        <v>2089.4499999999998</v>
      </c>
    </row>
    <row r="253" spans="1:11" x14ac:dyDescent="0.25">
      <c r="A253" s="88" t="s">
        <v>99</v>
      </c>
      <c r="C253" s="88" t="s">
        <v>87</v>
      </c>
      <c r="D253" s="90" t="s">
        <v>4</v>
      </c>
      <c r="E253" s="98" t="s">
        <v>87</v>
      </c>
      <c r="G253" s="90">
        <v>8367</v>
      </c>
      <c r="H253" s="93">
        <v>41047</v>
      </c>
      <c r="I253" s="89">
        <v>43373.49</v>
      </c>
      <c r="J253" s="94">
        <f t="shared" si="3"/>
        <v>1.6246575342465754</v>
      </c>
      <c r="K253" s="89">
        <f>ROUND($I253*(1+Preferred_Return_Rate)^tblPref[[#This Row],[Pref Period in Years]]-I253,2)</f>
        <v>2853.72</v>
      </c>
    </row>
    <row r="254" spans="1:11" x14ac:dyDescent="0.25">
      <c r="A254" s="88" t="s">
        <v>99</v>
      </c>
      <c r="C254" s="88" t="s">
        <v>87</v>
      </c>
      <c r="D254" s="90" t="s">
        <v>4</v>
      </c>
      <c r="E254" s="98" t="s">
        <v>87</v>
      </c>
      <c r="G254" s="90">
        <v>8367</v>
      </c>
      <c r="H254" s="93">
        <v>41141</v>
      </c>
      <c r="I254" s="89">
        <v>7228.92</v>
      </c>
      <c r="J254" s="94">
        <f t="shared" si="3"/>
        <v>1.3671232876712329</v>
      </c>
      <c r="K254" s="89">
        <f>ROUND($I254*(1+Preferred_Return_Rate)^tblPref[[#This Row],[Pref Period in Years]]-I254,2)</f>
        <v>398.19</v>
      </c>
    </row>
    <row r="255" spans="1:11" x14ac:dyDescent="0.25">
      <c r="A255" s="88" t="s">
        <v>99</v>
      </c>
      <c r="C255" s="88" t="s">
        <v>87</v>
      </c>
      <c r="D255" s="90" t="s">
        <v>4</v>
      </c>
      <c r="E255" s="98" t="s">
        <v>87</v>
      </c>
      <c r="G255" s="90">
        <v>8367</v>
      </c>
      <c r="H255" s="93">
        <v>41246</v>
      </c>
      <c r="I255" s="89">
        <v>35421.69</v>
      </c>
      <c r="J255" s="94">
        <f t="shared" si="3"/>
        <v>1.0794520547945206</v>
      </c>
      <c r="K255" s="89">
        <f>ROUND($I255*(1+Preferred_Return_Rate)^tblPref[[#This Row],[Pref Period in Years]]-I255,2)</f>
        <v>1531.84</v>
      </c>
    </row>
    <row r="256" spans="1:11" x14ac:dyDescent="0.25">
      <c r="A256" s="88" t="s">
        <v>99</v>
      </c>
      <c r="C256" s="88" t="s">
        <v>87</v>
      </c>
      <c r="D256" s="90" t="s">
        <v>4</v>
      </c>
      <c r="E256" s="98" t="s">
        <v>87</v>
      </c>
      <c r="G256" s="90">
        <v>8367</v>
      </c>
      <c r="H256" s="93">
        <v>41275</v>
      </c>
      <c r="I256" s="89">
        <v>3121.38</v>
      </c>
      <c r="J256" s="94">
        <f t="shared" si="3"/>
        <v>1</v>
      </c>
      <c r="K256" s="89">
        <f>ROUND($I256*(1+Preferred_Return_Rate)^tblPref[[#This Row],[Pref Period in Years]]-I256,2)</f>
        <v>124.86</v>
      </c>
    </row>
    <row r="257" spans="1:11" x14ac:dyDescent="0.25">
      <c r="A257" s="88" t="s">
        <v>99</v>
      </c>
      <c r="C257" s="88" t="s">
        <v>87</v>
      </c>
      <c r="D257" s="90" t="s">
        <v>4</v>
      </c>
      <c r="E257" s="98" t="s">
        <v>87</v>
      </c>
      <c r="G257" s="90">
        <v>8367</v>
      </c>
      <c r="H257" s="93">
        <v>41316</v>
      </c>
      <c r="I257" s="89">
        <v>24939.759999999998</v>
      </c>
      <c r="J257" s="94">
        <f t="shared" si="3"/>
        <v>0.88767123287671235</v>
      </c>
      <c r="K257" s="89">
        <f>ROUND($I257*(1+Preferred_Return_Rate)^tblPref[[#This Row],[Pref Period in Years]]-I257,2)</f>
        <v>883.57</v>
      </c>
    </row>
    <row r="258" spans="1:11" x14ac:dyDescent="0.25">
      <c r="A258" s="88" t="s">
        <v>99</v>
      </c>
      <c r="C258" s="88" t="s">
        <v>88</v>
      </c>
      <c r="D258" s="90" t="s">
        <v>4</v>
      </c>
      <c r="E258" s="98" t="s">
        <v>88</v>
      </c>
      <c r="G258" s="90">
        <v>8385</v>
      </c>
      <c r="H258" s="93">
        <v>40544</v>
      </c>
      <c r="I258" s="89">
        <v>3021.42</v>
      </c>
      <c r="J258" s="94">
        <f t="shared" si="3"/>
        <v>3.0027397260273974</v>
      </c>
      <c r="K258" s="89">
        <f>ROUND($I258*(1+Preferred_Return_Rate)^tblPref[[#This Row],[Pref Period in Years]]-I258,2)</f>
        <v>377.63</v>
      </c>
    </row>
    <row r="259" spans="1:11" x14ac:dyDescent="0.25">
      <c r="A259" s="88" t="s">
        <v>99</v>
      </c>
      <c r="C259" s="88" t="s">
        <v>88</v>
      </c>
      <c r="D259" s="90" t="s">
        <v>4</v>
      </c>
      <c r="E259" s="98" t="s">
        <v>88</v>
      </c>
      <c r="G259" s="90">
        <v>8385</v>
      </c>
      <c r="H259" s="93">
        <v>40563</v>
      </c>
      <c r="I259" s="89">
        <v>27108.43</v>
      </c>
      <c r="J259" s="94">
        <f t="shared" si="3"/>
        <v>2.9506849315068493</v>
      </c>
      <c r="K259" s="89">
        <f>ROUND($I259*(1+Preferred_Return_Rate)^tblPref[[#This Row],[Pref Period in Years]]-I259,2)</f>
        <v>3325.94</v>
      </c>
    </row>
    <row r="260" spans="1:11" x14ac:dyDescent="0.25">
      <c r="A260" s="88" t="s">
        <v>99</v>
      </c>
      <c r="C260" s="88" t="s">
        <v>88</v>
      </c>
      <c r="D260" s="90" t="s">
        <v>4</v>
      </c>
      <c r="E260" s="98" t="s">
        <v>88</v>
      </c>
      <c r="G260" s="90">
        <v>8385</v>
      </c>
      <c r="H260" s="93">
        <v>40564</v>
      </c>
      <c r="I260" s="89">
        <v>6948.89</v>
      </c>
      <c r="J260" s="94">
        <f t="shared" si="3"/>
        <v>2.9479452054794519</v>
      </c>
      <c r="K260" s="89">
        <f>ROUND($I260*(1+Preferred_Return_Rate)^tblPref[[#This Row],[Pref Period in Years]]-I260,2)</f>
        <v>851.72</v>
      </c>
    </row>
    <row r="261" spans="1:11" x14ac:dyDescent="0.25">
      <c r="A261" s="88" t="s">
        <v>99</v>
      </c>
      <c r="C261" s="88" t="s">
        <v>88</v>
      </c>
      <c r="D261" s="90" t="s">
        <v>4</v>
      </c>
      <c r="E261" s="98" t="s">
        <v>88</v>
      </c>
      <c r="G261" s="90">
        <v>8385</v>
      </c>
      <c r="H261" s="93">
        <v>40585</v>
      </c>
      <c r="I261" s="89">
        <v>3128.4</v>
      </c>
      <c r="J261" s="94">
        <f t="shared" si="3"/>
        <v>2.8904109589041096</v>
      </c>
      <c r="K261" s="89">
        <f>ROUND($I261*(1+Preferred_Return_Rate)^tblPref[[#This Row],[Pref Period in Years]]-I261,2)</f>
        <v>375.53</v>
      </c>
    </row>
    <row r="262" spans="1:11" x14ac:dyDescent="0.25">
      <c r="A262" s="88" t="s">
        <v>99</v>
      </c>
      <c r="C262" s="88" t="s">
        <v>88</v>
      </c>
      <c r="D262" s="90" t="s">
        <v>4</v>
      </c>
      <c r="E262" s="98" t="s">
        <v>88</v>
      </c>
      <c r="G262" s="90">
        <v>8385</v>
      </c>
      <c r="H262" s="93">
        <v>40589</v>
      </c>
      <c r="I262" s="89">
        <v>7661.4</v>
      </c>
      <c r="J262" s="94">
        <f t="shared" ref="J262:J325" si="4">((Period_End_Date-$H262+1)/365)</f>
        <v>2.8794520547945206</v>
      </c>
      <c r="K262" s="89">
        <f>ROUND($I262*(1+Preferred_Return_Rate)^tblPref[[#This Row],[Pref Period in Years]]-I262,2)</f>
        <v>915.98</v>
      </c>
    </row>
    <row r="263" spans="1:11" x14ac:dyDescent="0.25">
      <c r="A263" s="88" t="s">
        <v>99</v>
      </c>
      <c r="C263" s="88" t="s">
        <v>88</v>
      </c>
      <c r="D263" s="90" t="s">
        <v>4</v>
      </c>
      <c r="E263" s="98" t="s">
        <v>88</v>
      </c>
      <c r="G263" s="90">
        <v>8385</v>
      </c>
      <c r="H263" s="93">
        <v>40661</v>
      </c>
      <c r="I263" s="89">
        <v>18072.29</v>
      </c>
      <c r="J263" s="94">
        <f t="shared" si="4"/>
        <v>2.6821917808219178</v>
      </c>
      <c r="K263" s="89">
        <f>ROUND($I263*(1+Preferred_Return_Rate)^tblPref[[#This Row],[Pref Period in Years]]-I263,2)</f>
        <v>2004.76</v>
      </c>
    </row>
    <row r="264" spans="1:11" x14ac:dyDescent="0.25">
      <c r="A264" s="88" t="s">
        <v>99</v>
      </c>
      <c r="C264" s="88" t="s">
        <v>88</v>
      </c>
      <c r="D264" s="90" t="s">
        <v>4</v>
      </c>
      <c r="E264" s="98" t="s">
        <v>88</v>
      </c>
      <c r="G264" s="90">
        <v>8385</v>
      </c>
      <c r="H264" s="93">
        <v>40662</v>
      </c>
      <c r="I264" s="89">
        <v>6763.74</v>
      </c>
      <c r="J264" s="94">
        <f t="shared" si="4"/>
        <v>2.6794520547945204</v>
      </c>
      <c r="K264" s="89">
        <f>ROUND($I264*(1+Preferred_Return_Rate)^tblPref[[#This Row],[Pref Period in Years]]-I264,2)</f>
        <v>749.49</v>
      </c>
    </row>
    <row r="265" spans="1:11" x14ac:dyDescent="0.25">
      <c r="A265" s="88" t="s">
        <v>99</v>
      </c>
      <c r="C265" s="88" t="s">
        <v>88</v>
      </c>
      <c r="D265" s="90" t="s">
        <v>4</v>
      </c>
      <c r="E265" s="98" t="s">
        <v>88</v>
      </c>
      <c r="G265" s="90">
        <v>8385</v>
      </c>
      <c r="H265" s="93">
        <v>40745</v>
      </c>
      <c r="I265" s="89">
        <v>98913.58</v>
      </c>
      <c r="J265" s="94">
        <f t="shared" si="4"/>
        <v>2.452054794520548</v>
      </c>
      <c r="K265" s="89">
        <f>ROUND($I265*(1+Preferred_Return_Rate)^tblPref[[#This Row],[Pref Period in Years]]-I265,2)</f>
        <v>9985.1</v>
      </c>
    </row>
    <row r="266" spans="1:11" x14ac:dyDescent="0.25">
      <c r="A266" s="88" t="s">
        <v>99</v>
      </c>
      <c r="C266" s="88" t="s">
        <v>88</v>
      </c>
      <c r="D266" s="90" t="s">
        <v>4</v>
      </c>
      <c r="E266" s="98" t="s">
        <v>88</v>
      </c>
      <c r="G266" s="90">
        <v>8385</v>
      </c>
      <c r="H266" s="93">
        <v>40792</v>
      </c>
      <c r="I266" s="89">
        <v>18252.490000000002</v>
      </c>
      <c r="J266" s="94">
        <f t="shared" si="4"/>
        <v>2.3232876712328765</v>
      </c>
      <c r="K266" s="89">
        <f>ROUND($I266*(1+Preferred_Return_Rate)^tblPref[[#This Row],[Pref Period in Years]]-I266,2)</f>
        <v>1741.32</v>
      </c>
    </row>
    <row r="267" spans="1:11" x14ac:dyDescent="0.25">
      <c r="A267" s="88" t="s">
        <v>99</v>
      </c>
      <c r="C267" s="88" t="s">
        <v>88</v>
      </c>
      <c r="D267" s="90" t="s">
        <v>4</v>
      </c>
      <c r="E267" s="98" t="s">
        <v>88</v>
      </c>
      <c r="G267" s="90">
        <v>8385</v>
      </c>
      <c r="H267" s="93">
        <v>40857</v>
      </c>
      <c r="I267" s="89">
        <v>10057.66</v>
      </c>
      <c r="J267" s="94">
        <f t="shared" si="4"/>
        <v>2.1452054794520548</v>
      </c>
      <c r="K267" s="89">
        <f>ROUND($I267*(1+Preferred_Return_Rate)^tblPref[[#This Row],[Pref Period in Years]]-I267,2)</f>
        <v>882.83</v>
      </c>
    </row>
    <row r="268" spans="1:11" x14ac:dyDescent="0.25">
      <c r="A268" s="88" t="s">
        <v>99</v>
      </c>
      <c r="C268" s="88" t="s">
        <v>88</v>
      </c>
      <c r="D268" s="90" t="s">
        <v>4</v>
      </c>
      <c r="E268" s="98" t="s">
        <v>88</v>
      </c>
      <c r="G268" s="90">
        <v>8385</v>
      </c>
      <c r="H268" s="93">
        <v>40909</v>
      </c>
      <c r="I268" s="89">
        <v>2521.25</v>
      </c>
      <c r="J268" s="94">
        <f t="shared" si="4"/>
        <v>2.0027397260273974</v>
      </c>
      <c r="K268" s="89">
        <f>ROUND($I268*(1+Preferred_Return_Rate)^tblPref[[#This Row],[Pref Period in Years]]-I268,2)</f>
        <v>206.03</v>
      </c>
    </row>
    <row r="269" spans="1:11" x14ac:dyDescent="0.25">
      <c r="A269" s="88" t="s">
        <v>99</v>
      </c>
      <c r="C269" s="88" t="s">
        <v>88</v>
      </c>
      <c r="D269" s="90" t="s">
        <v>4</v>
      </c>
      <c r="E269" s="98" t="s">
        <v>88</v>
      </c>
      <c r="G269" s="90">
        <v>8385</v>
      </c>
      <c r="H269" s="93">
        <v>40940</v>
      </c>
      <c r="I269" s="89">
        <v>27013.68</v>
      </c>
      <c r="J269" s="94">
        <f t="shared" si="4"/>
        <v>1.9178082191780821</v>
      </c>
      <c r="K269" s="89">
        <f>ROUND($I269*(1+Preferred_Return_Rate)^tblPref[[#This Row],[Pref Period in Years]]-I269,2)</f>
        <v>2110.2800000000002</v>
      </c>
    </row>
    <row r="270" spans="1:11" x14ac:dyDescent="0.25">
      <c r="A270" s="88" t="s">
        <v>99</v>
      </c>
      <c r="C270" s="88" t="s">
        <v>88</v>
      </c>
      <c r="D270" s="90" t="s">
        <v>4</v>
      </c>
      <c r="E270" s="98" t="s">
        <v>88</v>
      </c>
      <c r="G270" s="90">
        <v>8385</v>
      </c>
      <c r="H270" s="93">
        <v>41047</v>
      </c>
      <c r="I270" s="89">
        <v>36144.58</v>
      </c>
      <c r="J270" s="94">
        <f t="shared" si="4"/>
        <v>1.6246575342465754</v>
      </c>
      <c r="K270" s="89">
        <f>ROUND($I270*(1+Preferred_Return_Rate)^tblPref[[#This Row],[Pref Period in Years]]-I270,2)</f>
        <v>2378.1</v>
      </c>
    </row>
    <row r="271" spans="1:11" x14ac:dyDescent="0.25">
      <c r="A271" s="88" t="s">
        <v>99</v>
      </c>
      <c r="C271" s="88" t="s">
        <v>88</v>
      </c>
      <c r="D271" s="90" t="s">
        <v>4</v>
      </c>
      <c r="E271" s="98" t="s">
        <v>88</v>
      </c>
      <c r="G271" s="90">
        <v>8385</v>
      </c>
      <c r="H271" s="93">
        <v>41080</v>
      </c>
      <c r="I271" s="89">
        <v>957.67</v>
      </c>
      <c r="J271" s="94">
        <f t="shared" si="4"/>
        <v>1.5342465753424657</v>
      </c>
      <c r="K271" s="89">
        <f>ROUND($I271*(1+Preferred_Return_Rate)^tblPref[[#This Row],[Pref Period in Years]]-I271,2)</f>
        <v>59.4</v>
      </c>
    </row>
    <row r="272" spans="1:11" x14ac:dyDescent="0.25">
      <c r="A272" s="88" t="s">
        <v>99</v>
      </c>
      <c r="C272" s="88" t="s">
        <v>88</v>
      </c>
      <c r="D272" s="90" t="s">
        <v>4</v>
      </c>
      <c r="E272" s="98" t="s">
        <v>88</v>
      </c>
      <c r="G272" s="90">
        <v>8385</v>
      </c>
      <c r="H272" s="93">
        <v>41141</v>
      </c>
      <c r="I272" s="89">
        <v>6024.1</v>
      </c>
      <c r="J272" s="94">
        <f t="shared" si="4"/>
        <v>1.3671232876712329</v>
      </c>
      <c r="K272" s="89">
        <f>ROUND($I272*(1+Preferred_Return_Rate)^tblPref[[#This Row],[Pref Period in Years]]-I272,2)</f>
        <v>331.83</v>
      </c>
    </row>
    <row r="273" spans="1:11" x14ac:dyDescent="0.25">
      <c r="A273" s="88" t="s">
        <v>99</v>
      </c>
      <c r="C273" s="88" t="s">
        <v>88</v>
      </c>
      <c r="D273" s="90" t="s">
        <v>4</v>
      </c>
      <c r="E273" s="98" t="s">
        <v>88</v>
      </c>
      <c r="G273" s="90">
        <v>8385</v>
      </c>
      <c r="H273" s="93">
        <v>41246</v>
      </c>
      <c r="I273" s="89">
        <v>35774.870000000003</v>
      </c>
      <c r="J273" s="94">
        <f t="shared" si="4"/>
        <v>1.0794520547945206</v>
      </c>
      <c r="K273" s="89">
        <f>ROUND($I273*(1+Preferred_Return_Rate)^tblPref[[#This Row],[Pref Period in Years]]-I273,2)</f>
        <v>1547.12</v>
      </c>
    </row>
    <row r="274" spans="1:11" x14ac:dyDescent="0.25">
      <c r="A274" s="88" t="s">
        <v>99</v>
      </c>
      <c r="C274" s="88" t="s">
        <v>88</v>
      </c>
      <c r="D274" s="90" t="s">
        <v>4</v>
      </c>
      <c r="E274" s="98" t="s">
        <v>88</v>
      </c>
      <c r="G274" s="90">
        <v>8385</v>
      </c>
      <c r="H274" s="93">
        <v>41275</v>
      </c>
      <c r="I274" s="89">
        <v>3239.59</v>
      </c>
      <c r="J274" s="94">
        <f t="shared" si="4"/>
        <v>1</v>
      </c>
      <c r="K274" s="89">
        <f>ROUND($I274*(1+Preferred_Return_Rate)^tblPref[[#This Row],[Pref Period in Years]]-I274,2)</f>
        <v>129.58000000000001</v>
      </c>
    </row>
    <row r="275" spans="1:11" x14ac:dyDescent="0.25">
      <c r="A275" s="88" t="s">
        <v>99</v>
      </c>
      <c r="C275" s="88" t="s">
        <v>88</v>
      </c>
      <c r="D275" s="90" t="s">
        <v>4</v>
      </c>
      <c r="E275" s="98" t="s">
        <v>88</v>
      </c>
      <c r="G275" s="90">
        <v>8385</v>
      </c>
      <c r="H275" s="93">
        <v>41316</v>
      </c>
      <c r="I275" s="89">
        <v>22047.27</v>
      </c>
      <c r="J275" s="94">
        <f t="shared" si="4"/>
        <v>0.88767123287671235</v>
      </c>
      <c r="K275" s="89">
        <f>ROUND($I275*(1+Preferred_Return_Rate)^tblPref[[#This Row],[Pref Period in Years]]-I275,2)</f>
        <v>781.1</v>
      </c>
    </row>
    <row r="276" spans="1:11" x14ac:dyDescent="0.25">
      <c r="A276" s="88" t="s">
        <v>99</v>
      </c>
      <c r="C276" s="88" t="s">
        <v>89</v>
      </c>
      <c r="D276" s="90" t="s">
        <v>4</v>
      </c>
      <c r="E276" s="98" t="s">
        <v>89</v>
      </c>
      <c r="G276" s="90">
        <v>8363</v>
      </c>
      <c r="H276" s="93">
        <v>40544</v>
      </c>
      <c r="I276" s="89">
        <v>2446.8200000000002</v>
      </c>
      <c r="J276" s="94">
        <f t="shared" si="4"/>
        <v>3.0027397260273974</v>
      </c>
      <c r="K276" s="89">
        <f>ROUND($I276*(1+Preferred_Return_Rate)^tblPref[[#This Row],[Pref Period in Years]]-I276,2)</f>
        <v>305.82</v>
      </c>
    </row>
    <row r="277" spans="1:11" x14ac:dyDescent="0.25">
      <c r="A277" s="88" t="s">
        <v>99</v>
      </c>
      <c r="C277" s="88" t="s">
        <v>89</v>
      </c>
      <c r="D277" s="90" t="s">
        <v>4</v>
      </c>
      <c r="E277" s="98" t="s">
        <v>89</v>
      </c>
      <c r="G277" s="90">
        <v>8363</v>
      </c>
      <c r="H277" s="93">
        <v>40563</v>
      </c>
      <c r="I277" s="89">
        <v>27108.43</v>
      </c>
      <c r="J277" s="94">
        <f t="shared" si="4"/>
        <v>2.9506849315068493</v>
      </c>
      <c r="K277" s="89">
        <f>ROUND($I277*(1+Preferred_Return_Rate)^tblPref[[#This Row],[Pref Period in Years]]-I277,2)</f>
        <v>3325.94</v>
      </c>
    </row>
    <row r="278" spans="1:11" x14ac:dyDescent="0.25">
      <c r="A278" s="88" t="s">
        <v>99</v>
      </c>
      <c r="C278" s="88" t="s">
        <v>89</v>
      </c>
      <c r="D278" s="90" t="s">
        <v>4</v>
      </c>
      <c r="E278" s="98" t="s">
        <v>89</v>
      </c>
      <c r="G278" s="90">
        <v>8363</v>
      </c>
      <c r="H278" s="93">
        <v>40661</v>
      </c>
      <c r="I278" s="89">
        <v>18072.29</v>
      </c>
      <c r="J278" s="94">
        <f t="shared" si="4"/>
        <v>2.6821917808219178</v>
      </c>
      <c r="K278" s="89">
        <f>ROUND($I278*(1+Preferred_Return_Rate)^tblPref[[#This Row],[Pref Period in Years]]-I278,2)</f>
        <v>2004.76</v>
      </c>
    </row>
    <row r="279" spans="1:11" x14ac:dyDescent="0.25">
      <c r="A279" s="88" t="s">
        <v>99</v>
      </c>
      <c r="C279" s="88" t="s">
        <v>89</v>
      </c>
      <c r="D279" s="90" t="s">
        <v>4</v>
      </c>
      <c r="E279" s="98" t="s">
        <v>89</v>
      </c>
      <c r="G279" s="90">
        <v>8363</v>
      </c>
      <c r="H279" s="93">
        <v>40745</v>
      </c>
      <c r="I279" s="89">
        <v>86144.58</v>
      </c>
      <c r="J279" s="94">
        <f t="shared" si="4"/>
        <v>2.452054794520548</v>
      </c>
      <c r="K279" s="89">
        <f>ROUND($I279*(1+Preferred_Return_Rate)^tblPref[[#This Row],[Pref Period in Years]]-I279,2)</f>
        <v>8696.1</v>
      </c>
    </row>
    <row r="280" spans="1:11" x14ac:dyDescent="0.25">
      <c r="A280" s="88" t="s">
        <v>99</v>
      </c>
      <c r="C280" s="88" t="s">
        <v>89</v>
      </c>
      <c r="D280" s="90" t="s">
        <v>4</v>
      </c>
      <c r="E280" s="98" t="s">
        <v>89</v>
      </c>
      <c r="G280" s="90">
        <v>8363</v>
      </c>
      <c r="H280" s="93">
        <v>40792</v>
      </c>
      <c r="I280" s="89">
        <v>15060.24</v>
      </c>
      <c r="J280" s="94">
        <f t="shared" si="4"/>
        <v>2.3232876712328765</v>
      </c>
      <c r="K280" s="89">
        <f>ROUND($I280*(1+Preferred_Return_Rate)^tblPref[[#This Row],[Pref Period in Years]]-I280,2)</f>
        <v>1436.77</v>
      </c>
    </row>
    <row r="281" spans="1:11" x14ac:dyDescent="0.25">
      <c r="A281" s="88" t="s">
        <v>99</v>
      </c>
      <c r="C281" s="88" t="s">
        <v>89</v>
      </c>
      <c r="D281" s="90" t="s">
        <v>4</v>
      </c>
      <c r="E281" s="98" t="s">
        <v>89</v>
      </c>
      <c r="G281" s="90">
        <v>8363</v>
      </c>
      <c r="H281" s="93">
        <v>40857</v>
      </c>
      <c r="I281" s="89">
        <v>9036.14</v>
      </c>
      <c r="J281" s="94">
        <f t="shared" si="4"/>
        <v>2.1452054794520548</v>
      </c>
      <c r="K281" s="89">
        <f>ROUND($I281*(1+Preferred_Return_Rate)^tblPref[[#This Row],[Pref Period in Years]]-I281,2)</f>
        <v>793.17</v>
      </c>
    </row>
    <row r="282" spans="1:11" x14ac:dyDescent="0.25">
      <c r="A282" s="88" t="s">
        <v>99</v>
      </c>
      <c r="C282" s="88" t="s">
        <v>89</v>
      </c>
      <c r="D282" s="90" t="s">
        <v>4</v>
      </c>
      <c r="E282" s="98" t="s">
        <v>89</v>
      </c>
      <c r="G282" s="90">
        <v>8363</v>
      </c>
      <c r="H282" s="93">
        <v>40909</v>
      </c>
      <c r="I282" s="89">
        <v>2138.1799999999998</v>
      </c>
      <c r="J282" s="94">
        <f t="shared" si="4"/>
        <v>2.0027397260273974</v>
      </c>
      <c r="K282" s="89">
        <f>ROUND($I282*(1+Preferred_Return_Rate)^tblPref[[#This Row],[Pref Period in Years]]-I282,2)</f>
        <v>174.72</v>
      </c>
    </row>
    <row r="283" spans="1:11" x14ac:dyDescent="0.25">
      <c r="A283" s="88" t="s">
        <v>99</v>
      </c>
      <c r="C283" s="88" t="s">
        <v>89</v>
      </c>
      <c r="D283" s="90" t="s">
        <v>4</v>
      </c>
      <c r="E283" s="98" t="s">
        <v>89</v>
      </c>
      <c r="G283" s="90">
        <v>8363</v>
      </c>
      <c r="H283" s="93">
        <v>40940</v>
      </c>
      <c r="I283" s="89">
        <v>22289.15</v>
      </c>
      <c r="J283" s="94">
        <f t="shared" si="4"/>
        <v>1.9178082191780821</v>
      </c>
      <c r="K283" s="89">
        <f>ROUND($I283*(1+Preferred_Return_Rate)^tblPref[[#This Row],[Pref Period in Years]]-I283,2)</f>
        <v>1741.2</v>
      </c>
    </row>
    <row r="284" spans="1:11" x14ac:dyDescent="0.25">
      <c r="A284" s="88" t="s">
        <v>99</v>
      </c>
      <c r="C284" s="88" t="s">
        <v>89</v>
      </c>
      <c r="D284" s="90" t="s">
        <v>4</v>
      </c>
      <c r="E284" s="98" t="s">
        <v>89</v>
      </c>
      <c r="G284" s="90">
        <v>8363</v>
      </c>
      <c r="H284" s="93">
        <v>41047</v>
      </c>
      <c r="I284" s="89">
        <v>36144.58</v>
      </c>
      <c r="J284" s="94">
        <f t="shared" si="4"/>
        <v>1.6246575342465754</v>
      </c>
      <c r="K284" s="89">
        <f>ROUND($I284*(1+Preferred_Return_Rate)^tblPref[[#This Row],[Pref Period in Years]]-I284,2)</f>
        <v>2378.1</v>
      </c>
    </row>
    <row r="285" spans="1:11" x14ac:dyDescent="0.25">
      <c r="A285" s="88" t="s">
        <v>99</v>
      </c>
      <c r="C285" s="88" t="s">
        <v>89</v>
      </c>
      <c r="D285" s="90" t="s">
        <v>4</v>
      </c>
      <c r="E285" s="98" t="s">
        <v>89</v>
      </c>
      <c r="G285" s="90">
        <v>8363</v>
      </c>
      <c r="H285" s="93">
        <v>41141</v>
      </c>
      <c r="I285" s="89">
        <v>6024.1</v>
      </c>
      <c r="J285" s="94">
        <f t="shared" si="4"/>
        <v>1.3671232876712329</v>
      </c>
      <c r="K285" s="89">
        <f>ROUND($I285*(1+Preferred_Return_Rate)^tblPref[[#This Row],[Pref Period in Years]]-I285,2)</f>
        <v>331.83</v>
      </c>
    </row>
    <row r="286" spans="1:11" x14ac:dyDescent="0.25">
      <c r="A286" s="88" t="s">
        <v>99</v>
      </c>
      <c r="C286" s="88" t="s">
        <v>89</v>
      </c>
      <c r="D286" s="90" t="s">
        <v>4</v>
      </c>
      <c r="E286" s="98" t="s">
        <v>89</v>
      </c>
      <c r="G286" s="90">
        <v>8363</v>
      </c>
      <c r="H286" s="93">
        <v>41246</v>
      </c>
      <c r="I286" s="89">
        <v>29518.07</v>
      </c>
      <c r="J286" s="94">
        <f t="shared" si="4"/>
        <v>1.0794520547945206</v>
      </c>
      <c r="K286" s="89">
        <f>ROUND($I286*(1+Preferred_Return_Rate)^tblPref[[#This Row],[Pref Period in Years]]-I286,2)</f>
        <v>1276.53</v>
      </c>
    </row>
    <row r="287" spans="1:11" x14ac:dyDescent="0.25">
      <c r="A287" s="88" t="s">
        <v>99</v>
      </c>
      <c r="C287" s="88" t="s">
        <v>89</v>
      </c>
      <c r="D287" s="90" t="s">
        <v>4</v>
      </c>
      <c r="E287" s="98" t="s">
        <v>89</v>
      </c>
      <c r="G287" s="90">
        <v>8363</v>
      </c>
      <c r="H287" s="93">
        <v>41275</v>
      </c>
      <c r="I287" s="89">
        <v>2601.14</v>
      </c>
      <c r="J287" s="94">
        <f t="shared" si="4"/>
        <v>1</v>
      </c>
      <c r="K287" s="89">
        <f>ROUND($I287*(1+Preferred_Return_Rate)^tblPref[[#This Row],[Pref Period in Years]]-I287,2)</f>
        <v>104.05</v>
      </c>
    </row>
    <row r="288" spans="1:11" x14ac:dyDescent="0.25">
      <c r="A288" s="88" t="s">
        <v>99</v>
      </c>
      <c r="C288" s="88" t="s">
        <v>89</v>
      </c>
      <c r="D288" s="90" t="s">
        <v>4</v>
      </c>
      <c r="E288" s="98" t="s">
        <v>89</v>
      </c>
      <c r="G288" s="90">
        <v>8363</v>
      </c>
      <c r="H288" s="93">
        <v>41316</v>
      </c>
      <c r="I288" s="89">
        <v>20783.14</v>
      </c>
      <c r="J288" s="94">
        <f t="shared" si="4"/>
        <v>0.88767123287671235</v>
      </c>
      <c r="K288" s="89">
        <f>ROUND($I288*(1+Preferred_Return_Rate)^tblPref[[#This Row],[Pref Period in Years]]-I288,2)</f>
        <v>736.31</v>
      </c>
    </row>
    <row r="289" spans="1:11" x14ac:dyDescent="0.25">
      <c r="A289" s="88" t="s">
        <v>99</v>
      </c>
      <c r="C289" s="88" t="s">
        <v>90</v>
      </c>
      <c r="D289" s="90" t="s">
        <v>4</v>
      </c>
      <c r="E289" s="98" t="s">
        <v>90</v>
      </c>
      <c r="G289" s="90">
        <v>8386</v>
      </c>
      <c r="H289" s="93">
        <v>40544</v>
      </c>
      <c r="I289" s="89">
        <v>1846.56</v>
      </c>
      <c r="J289" s="94">
        <f t="shared" si="4"/>
        <v>3.0027397260273974</v>
      </c>
      <c r="K289" s="89">
        <f>ROUND($I289*(1+Preferred_Return_Rate)^tblPref[[#This Row],[Pref Period in Years]]-I289,2)</f>
        <v>230.79</v>
      </c>
    </row>
    <row r="290" spans="1:11" x14ac:dyDescent="0.25">
      <c r="A290" s="88" t="s">
        <v>99</v>
      </c>
      <c r="C290" s="88" t="s">
        <v>90</v>
      </c>
      <c r="D290" s="90" t="s">
        <v>4</v>
      </c>
      <c r="E290" s="98" t="s">
        <v>90</v>
      </c>
      <c r="G290" s="90">
        <v>8386</v>
      </c>
      <c r="H290" s="93">
        <v>40564</v>
      </c>
      <c r="I290" s="89">
        <v>22331.119999999999</v>
      </c>
      <c r="J290" s="94">
        <f t="shared" si="4"/>
        <v>2.9479452054794519</v>
      </c>
      <c r="K290" s="89">
        <f>ROUND($I290*(1+Preferred_Return_Rate)^tblPref[[#This Row],[Pref Period in Years]]-I290,2)</f>
        <v>2737.12</v>
      </c>
    </row>
    <row r="291" spans="1:11" x14ac:dyDescent="0.25">
      <c r="A291" s="88" t="s">
        <v>99</v>
      </c>
      <c r="C291" s="88" t="s">
        <v>90</v>
      </c>
      <c r="D291" s="90" t="s">
        <v>4</v>
      </c>
      <c r="E291" s="98" t="s">
        <v>90</v>
      </c>
      <c r="G291" s="90">
        <v>8386</v>
      </c>
      <c r="H291" s="93">
        <v>40585</v>
      </c>
      <c r="I291" s="89">
        <v>10053.52</v>
      </c>
      <c r="J291" s="94">
        <f t="shared" si="4"/>
        <v>2.8904109589041096</v>
      </c>
      <c r="K291" s="89">
        <f>ROUND($I291*(1+Preferred_Return_Rate)^tblPref[[#This Row],[Pref Period in Years]]-I291,2)</f>
        <v>1206.82</v>
      </c>
    </row>
    <row r="292" spans="1:11" x14ac:dyDescent="0.25">
      <c r="A292" s="88" t="s">
        <v>99</v>
      </c>
      <c r="C292" s="88" t="s">
        <v>90</v>
      </c>
      <c r="D292" s="90" t="s">
        <v>4</v>
      </c>
      <c r="E292" s="98" t="s">
        <v>90</v>
      </c>
      <c r="G292" s="90">
        <v>8386</v>
      </c>
      <c r="H292" s="93">
        <v>40589</v>
      </c>
      <c r="I292" s="89">
        <v>24620.87</v>
      </c>
      <c r="J292" s="94">
        <f t="shared" si="4"/>
        <v>2.8794520547945206</v>
      </c>
      <c r="K292" s="89">
        <f>ROUND($I292*(1+Preferred_Return_Rate)^tblPref[[#This Row],[Pref Period in Years]]-I292,2)</f>
        <v>2943.63</v>
      </c>
    </row>
    <row r="293" spans="1:11" x14ac:dyDescent="0.25">
      <c r="A293" s="88" t="s">
        <v>99</v>
      </c>
      <c r="C293" s="88" t="s">
        <v>90</v>
      </c>
      <c r="D293" s="90" t="s">
        <v>4</v>
      </c>
      <c r="E293" s="98" t="s">
        <v>90</v>
      </c>
      <c r="G293" s="90">
        <v>8386</v>
      </c>
      <c r="H293" s="93">
        <v>40662</v>
      </c>
      <c r="I293" s="89">
        <v>21736.12</v>
      </c>
      <c r="J293" s="94">
        <f t="shared" si="4"/>
        <v>2.6794520547945204</v>
      </c>
      <c r="K293" s="89">
        <f>ROUND($I293*(1+Preferred_Return_Rate)^tblPref[[#This Row],[Pref Period in Years]]-I293,2)</f>
        <v>2408.59</v>
      </c>
    </row>
    <row r="294" spans="1:11" x14ac:dyDescent="0.25">
      <c r="A294" s="88" t="s">
        <v>99</v>
      </c>
      <c r="C294" s="88" t="s">
        <v>90</v>
      </c>
      <c r="D294" s="90" t="s">
        <v>4</v>
      </c>
      <c r="E294" s="98" t="s">
        <v>90</v>
      </c>
      <c r="G294" s="90">
        <v>8386</v>
      </c>
      <c r="H294" s="93">
        <v>40745</v>
      </c>
      <c r="I294" s="89">
        <v>41034.78</v>
      </c>
      <c r="J294" s="94">
        <f t="shared" si="4"/>
        <v>2.452054794520548</v>
      </c>
      <c r="K294" s="89">
        <f>ROUND($I294*(1+Preferred_Return_Rate)^tblPref[[#This Row],[Pref Period in Years]]-I294,2)</f>
        <v>4142.37</v>
      </c>
    </row>
    <row r="295" spans="1:11" x14ac:dyDescent="0.25">
      <c r="A295" s="88" t="s">
        <v>99</v>
      </c>
      <c r="C295" s="88" t="s">
        <v>90</v>
      </c>
      <c r="D295" s="90" t="s">
        <v>4</v>
      </c>
      <c r="E295" s="98" t="s">
        <v>90</v>
      </c>
      <c r="G295" s="90">
        <v>8386</v>
      </c>
      <c r="H295" s="93">
        <v>40792</v>
      </c>
      <c r="I295" s="89">
        <v>10258.69</v>
      </c>
      <c r="J295" s="94">
        <f t="shared" si="4"/>
        <v>2.3232876712328765</v>
      </c>
      <c r="K295" s="89">
        <f>ROUND($I295*(1+Preferred_Return_Rate)^tblPref[[#This Row],[Pref Period in Years]]-I295,2)</f>
        <v>978.69</v>
      </c>
    </row>
    <row r="296" spans="1:11" x14ac:dyDescent="0.25">
      <c r="A296" s="88" t="s">
        <v>99</v>
      </c>
      <c r="C296" s="88" t="s">
        <v>90</v>
      </c>
      <c r="D296" s="90" t="s">
        <v>4</v>
      </c>
      <c r="E296" s="98" t="s">
        <v>90</v>
      </c>
      <c r="G296" s="90">
        <v>8386</v>
      </c>
      <c r="H296" s="93">
        <v>40857</v>
      </c>
      <c r="I296" s="89">
        <v>3282.78</v>
      </c>
      <c r="J296" s="94">
        <f t="shared" si="4"/>
        <v>2.1452054794520548</v>
      </c>
      <c r="K296" s="89">
        <f>ROUND($I296*(1+Preferred_Return_Rate)^tblPref[[#This Row],[Pref Period in Years]]-I296,2)</f>
        <v>288.14999999999998</v>
      </c>
    </row>
    <row r="297" spans="1:11" x14ac:dyDescent="0.25">
      <c r="A297" s="88" t="s">
        <v>99</v>
      </c>
      <c r="C297" s="88" t="s">
        <v>90</v>
      </c>
      <c r="D297" s="90" t="s">
        <v>4</v>
      </c>
      <c r="E297" s="98" t="s">
        <v>90</v>
      </c>
      <c r="G297" s="90">
        <v>8386</v>
      </c>
      <c r="H297" s="93">
        <v>40909</v>
      </c>
      <c r="I297" s="89">
        <v>1231.04</v>
      </c>
      <c r="J297" s="94">
        <f t="shared" si="4"/>
        <v>2.0027397260273974</v>
      </c>
      <c r="K297" s="89">
        <f>ROUND($I297*(1+Preferred_Return_Rate)^tblPref[[#This Row],[Pref Period in Years]]-I297,2)</f>
        <v>100.6</v>
      </c>
    </row>
    <row r="298" spans="1:11" x14ac:dyDescent="0.25">
      <c r="A298" s="88" t="s">
        <v>99</v>
      </c>
      <c r="C298" s="88" t="s">
        <v>90</v>
      </c>
      <c r="D298" s="90" t="s">
        <v>4</v>
      </c>
      <c r="E298" s="98" t="s">
        <v>90</v>
      </c>
      <c r="G298" s="90">
        <v>8386</v>
      </c>
      <c r="H298" s="93">
        <v>40940</v>
      </c>
      <c r="I298" s="89">
        <v>15182.87</v>
      </c>
      <c r="J298" s="94">
        <f t="shared" si="4"/>
        <v>1.9178082191780821</v>
      </c>
      <c r="K298" s="89">
        <f>ROUND($I298*(1+Preferred_Return_Rate)^tblPref[[#This Row],[Pref Period in Years]]-I298,2)</f>
        <v>1186.07</v>
      </c>
    </row>
    <row r="299" spans="1:11" x14ac:dyDescent="0.25">
      <c r="A299" s="88" t="s">
        <v>99</v>
      </c>
      <c r="C299" s="88" t="s">
        <v>90</v>
      </c>
      <c r="D299" s="90" t="s">
        <v>4</v>
      </c>
      <c r="E299" s="98" t="s">
        <v>90</v>
      </c>
      <c r="G299" s="90">
        <v>8386</v>
      </c>
      <c r="H299" s="93">
        <v>41080</v>
      </c>
      <c r="I299" s="89">
        <v>3077.61</v>
      </c>
      <c r="J299" s="94">
        <f t="shared" si="4"/>
        <v>1.5342465753424657</v>
      </c>
      <c r="K299" s="89">
        <f>ROUND($I299*(1+Preferred_Return_Rate)^tblPref[[#This Row],[Pref Period in Years]]-I299,2)</f>
        <v>190.88</v>
      </c>
    </row>
    <row r="300" spans="1:11" x14ac:dyDescent="0.25">
      <c r="A300" s="88" t="s">
        <v>99</v>
      </c>
      <c r="C300" s="88" t="s">
        <v>90</v>
      </c>
      <c r="D300" s="90" t="s">
        <v>4</v>
      </c>
      <c r="E300" s="98" t="s">
        <v>90</v>
      </c>
      <c r="G300" s="90">
        <v>8386</v>
      </c>
      <c r="H300" s="93">
        <v>41246</v>
      </c>
      <c r="I300" s="89">
        <v>20107.04</v>
      </c>
      <c r="J300" s="94">
        <f t="shared" si="4"/>
        <v>1.0794520547945206</v>
      </c>
      <c r="K300" s="89">
        <f>ROUND($I300*(1+Preferred_Return_Rate)^tblPref[[#This Row],[Pref Period in Years]]-I300,2)</f>
        <v>869.55</v>
      </c>
    </row>
    <row r="301" spans="1:11" x14ac:dyDescent="0.25">
      <c r="A301" s="88" t="s">
        <v>99</v>
      </c>
      <c r="C301" s="88" t="s">
        <v>90</v>
      </c>
      <c r="D301" s="90" t="s">
        <v>4</v>
      </c>
      <c r="E301" s="98" t="s">
        <v>90</v>
      </c>
      <c r="G301" s="90">
        <v>8386</v>
      </c>
      <c r="H301" s="93">
        <v>41275</v>
      </c>
      <c r="I301" s="89">
        <v>2051.7399999999998</v>
      </c>
      <c r="J301" s="94">
        <f t="shared" si="4"/>
        <v>1</v>
      </c>
      <c r="K301" s="89">
        <f>ROUND($I301*(1+Preferred_Return_Rate)^tblPref[[#This Row],[Pref Period in Years]]-I301,2)</f>
        <v>82.07</v>
      </c>
    </row>
    <row r="302" spans="1:11" x14ac:dyDescent="0.25">
      <c r="A302" s="88" t="s">
        <v>99</v>
      </c>
      <c r="C302" s="88" t="s">
        <v>90</v>
      </c>
      <c r="D302" s="90" t="s">
        <v>4</v>
      </c>
      <c r="E302" s="98" t="s">
        <v>90</v>
      </c>
      <c r="G302" s="90">
        <v>8386</v>
      </c>
      <c r="H302" s="93">
        <v>41316</v>
      </c>
      <c r="I302" s="89">
        <v>4062.44</v>
      </c>
      <c r="J302" s="94">
        <f t="shared" si="4"/>
        <v>0.88767123287671235</v>
      </c>
      <c r="K302" s="89">
        <f>ROUND($I302*(1+Preferred_Return_Rate)^tblPref[[#This Row],[Pref Period in Years]]-I302,2)</f>
        <v>143.93</v>
      </c>
    </row>
    <row r="303" spans="1:11" x14ac:dyDescent="0.25">
      <c r="A303" s="88" t="s">
        <v>99</v>
      </c>
      <c r="C303" s="88" t="s">
        <v>91</v>
      </c>
      <c r="D303" s="90" t="s">
        <v>4</v>
      </c>
      <c r="E303" s="98" t="s">
        <v>91</v>
      </c>
      <c r="G303" s="90">
        <v>8402</v>
      </c>
      <c r="H303" s="93">
        <v>40544</v>
      </c>
      <c r="I303" s="89">
        <v>32192.55</v>
      </c>
      <c r="J303" s="94">
        <f t="shared" si="4"/>
        <v>3.0027397260273974</v>
      </c>
      <c r="K303" s="89">
        <f>ROUND($I303*(1+Preferred_Return_Rate)^tblPref[[#This Row],[Pref Period in Years]]-I303,2)</f>
        <v>4023.58</v>
      </c>
    </row>
    <row r="304" spans="1:11" x14ac:dyDescent="0.25">
      <c r="A304" s="88" t="s">
        <v>99</v>
      </c>
      <c r="C304" s="88" t="s">
        <v>91</v>
      </c>
      <c r="D304" s="90" t="s">
        <v>4</v>
      </c>
      <c r="E304" s="98" t="s">
        <v>91</v>
      </c>
      <c r="G304" s="90">
        <v>8402</v>
      </c>
      <c r="H304" s="93">
        <v>40564</v>
      </c>
      <c r="I304" s="89">
        <v>389315.29</v>
      </c>
      <c r="J304" s="94">
        <f t="shared" si="4"/>
        <v>2.9479452054794519</v>
      </c>
      <c r="K304" s="89">
        <f>ROUND($I304*(1+Preferred_Return_Rate)^tblPref[[#This Row],[Pref Period in Years]]-I304,2)</f>
        <v>47718.29</v>
      </c>
    </row>
    <row r="305" spans="1:11" x14ac:dyDescent="0.25">
      <c r="A305" s="88" t="s">
        <v>99</v>
      </c>
      <c r="C305" s="88" t="s">
        <v>91</v>
      </c>
      <c r="D305" s="90" t="s">
        <v>4</v>
      </c>
      <c r="E305" s="98" t="s">
        <v>91</v>
      </c>
      <c r="G305" s="90">
        <v>8402</v>
      </c>
      <c r="H305" s="93">
        <v>40585</v>
      </c>
      <c r="I305" s="89">
        <v>175270.57</v>
      </c>
      <c r="J305" s="94">
        <f t="shared" si="4"/>
        <v>2.8904109589041096</v>
      </c>
      <c r="K305" s="89">
        <f>ROUND($I305*(1+Preferred_Return_Rate)^tblPref[[#This Row],[Pref Period in Years]]-I305,2)</f>
        <v>21039.4</v>
      </c>
    </row>
    <row r="306" spans="1:11" x14ac:dyDescent="0.25">
      <c r="A306" s="88" t="s">
        <v>99</v>
      </c>
      <c r="C306" s="88" t="s">
        <v>91</v>
      </c>
      <c r="D306" s="90" t="s">
        <v>4</v>
      </c>
      <c r="E306" s="98" t="s">
        <v>91</v>
      </c>
      <c r="G306" s="90">
        <v>8402</v>
      </c>
      <c r="H306" s="93">
        <v>40589</v>
      </c>
      <c r="I306" s="89">
        <v>429234.06</v>
      </c>
      <c r="J306" s="94">
        <f t="shared" si="4"/>
        <v>2.8794520547945206</v>
      </c>
      <c r="K306" s="89">
        <f>ROUND($I306*(1+Preferred_Return_Rate)^tblPref[[#This Row],[Pref Period in Years]]-I306,2)</f>
        <v>51318.46</v>
      </c>
    </row>
    <row r="307" spans="1:11" x14ac:dyDescent="0.25">
      <c r="A307" s="88" t="s">
        <v>99</v>
      </c>
      <c r="C307" s="88" t="s">
        <v>91</v>
      </c>
      <c r="D307" s="90" t="s">
        <v>4</v>
      </c>
      <c r="E307" s="98" t="s">
        <v>91</v>
      </c>
      <c r="G307" s="90">
        <v>8402</v>
      </c>
      <c r="H307" s="93">
        <v>40662</v>
      </c>
      <c r="I307" s="89">
        <v>378942.13</v>
      </c>
      <c r="J307" s="94">
        <f t="shared" si="4"/>
        <v>2.6794520547945204</v>
      </c>
      <c r="K307" s="89">
        <f>ROUND($I307*(1+Preferred_Return_Rate)^tblPref[[#This Row],[Pref Period in Years]]-I307,2)</f>
        <v>41990.81</v>
      </c>
    </row>
    <row r="308" spans="1:11" x14ac:dyDescent="0.25">
      <c r="A308" s="88" t="s">
        <v>99</v>
      </c>
      <c r="C308" s="88" t="s">
        <v>91</v>
      </c>
      <c r="D308" s="90" t="s">
        <v>4</v>
      </c>
      <c r="E308" s="98" t="s">
        <v>91</v>
      </c>
      <c r="G308" s="90">
        <v>8402</v>
      </c>
      <c r="H308" s="93">
        <v>40745</v>
      </c>
      <c r="I308" s="89">
        <v>715390.1</v>
      </c>
      <c r="J308" s="94">
        <f t="shared" si="4"/>
        <v>2.452054794520548</v>
      </c>
      <c r="K308" s="89">
        <f>ROUND($I308*(1+Preferred_Return_Rate)^tblPref[[#This Row],[Pref Period in Years]]-I308,2)</f>
        <v>72216.97</v>
      </c>
    </row>
    <row r="309" spans="1:11" x14ac:dyDescent="0.25">
      <c r="A309" s="88" t="s">
        <v>99</v>
      </c>
      <c r="C309" s="88" t="s">
        <v>91</v>
      </c>
      <c r="D309" s="90" t="s">
        <v>4</v>
      </c>
      <c r="E309" s="98" t="s">
        <v>91</v>
      </c>
      <c r="G309" s="90">
        <v>8402</v>
      </c>
      <c r="H309" s="93">
        <v>40792</v>
      </c>
      <c r="I309" s="89">
        <v>178847.52</v>
      </c>
      <c r="J309" s="94">
        <f t="shared" si="4"/>
        <v>2.3232876712328765</v>
      </c>
      <c r="K309" s="89">
        <f>ROUND($I309*(1+Preferred_Return_Rate)^tblPref[[#This Row],[Pref Period in Years]]-I309,2)</f>
        <v>17062.330000000002</v>
      </c>
    </row>
    <row r="310" spans="1:11" x14ac:dyDescent="0.25">
      <c r="A310" s="88" t="s">
        <v>99</v>
      </c>
      <c r="C310" s="88" t="s">
        <v>91</v>
      </c>
      <c r="D310" s="90" t="s">
        <v>4</v>
      </c>
      <c r="E310" s="98" t="s">
        <v>91</v>
      </c>
      <c r="G310" s="90">
        <v>8402</v>
      </c>
      <c r="H310" s="93">
        <v>40857</v>
      </c>
      <c r="I310" s="89">
        <v>57231.21</v>
      </c>
      <c r="J310" s="94">
        <f t="shared" si="4"/>
        <v>2.1452054794520548</v>
      </c>
      <c r="K310" s="89">
        <f>ROUND($I310*(1+Preferred_Return_Rate)^tblPref[[#This Row],[Pref Period in Years]]-I310,2)</f>
        <v>5023.6000000000004</v>
      </c>
    </row>
    <row r="311" spans="1:11" x14ac:dyDescent="0.25">
      <c r="A311" s="88" t="s">
        <v>99</v>
      </c>
      <c r="C311" s="88" t="s">
        <v>91</v>
      </c>
      <c r="D311" s="90" t="s">
        <v>4</v>
      </c>
      <c r="E311" s="98" t="s">
        <v>91</v>
      </c>
      <c r="G311" s="90">
        <v>8402</v>
      </c>
      <c r="H311" s="93">
        <v>40909</v>
      </c>
      <c r="I311" s="89">
        <v>21461.7</v>
      </c>
      <c r="J311" s="94">
        <f t="shared" si="4"/>
        <v>2.0027397260273974</v>
      </c>
      <c r="K311" s="89">
        <f>ROUND($I311*(1+Preferred_Return_Rate)^tblPref[[#This Row],[Pref Period in Years]]-I311,2)</f>
        <v>1753.77</v>
      </c>
    </row>
    <row r="312" spans="1:11" x14ac:dyDescent="0.25">
      <c r="A312" s="88" t="s">
        <v>99</v>
      </c>
      <c r="C312" s="88" t="s">
        <v>91</v>
      </c>
      <c r="D312" s="90" t="s">
        <v>4</v>
      </c>
      <c r="E312" s="98" t="s">
        <v>91</v>
      </c>
      <c r="G312" s="90">
        <v>8402</v>
      </c>
      <c r="H312" s="93">
        <v>40940</v>
      </c>
      <c r="I312" s="89">
        <v>264694.33</v>
      </c>
      <c r="J312" s="94">
        <f t="shared" si="4"/>
        <v>1.9178082191780821</v>
      </c>
      <c r="K312" s="89">
        <f>ROUND($I312*(1+Preferred_Return_Rate)^tblPref[[#This Row],[Pref Period in Years]]-I312,2)</f>
        <v>20677.64</v>
      </c>
    </row>
    <row r="313" spans="1:11" x14ac:dyDescent="0.25">
      <c r="A313" s="88" t="s">
        <v>99</v>
      </c>
      <c r="C313" s="88" t="s">
        <v>91</v>
      </c>
      <c r="D313" s="90" t="s">
        <v>4</v>
      </c>
      <c r="E313" s="98" t="s">
        <v>91</v>
      </c>
      <c r="G313" s="90">
        <v>8402</v>
      </c>
      <c r="H313" s="93">
        <v>41080</v>
      </c>
      <c r="I313" s="89">
        <v>53654.26</v>
      </c>
      <c r="J313" s="94">
        <f t="shared" si="4"/>
        <v>1.5342465753424657</v>
      </c>
      <c r="K313" s="89">
        <f>ROUND($I313*(1+Preferred_Return_Rate)^tblPref[[#This Row],[Pref Period in Years]]-I313,2)</f>
        <v>3327.72</v>
      </c>
    </row>
    <row r="314" spans="1:11" x14ac:dyDescent="0.25">
      <c r="A314" s="88" t="s">
        <v>99</v>
      </c>
      <c r="C314" s="88" t="s">
        <v>91</v>
      </c>
      <c r="D314" s="90" t="s">
        <v>4</v>
      </c>
      <c r="E314" s="98" t="s">
        <v>91</v>
      </c>
      <c r="G314" s="90">
        <v>8402</v>
      </c>
      <c r="H314" s="93">
        <v>41246</v>
      </c>
      <c r="I314" s="89">
        <v>350541.15</v>
      </c>
      <c r="J314" s="94">
        <f t="shared" si="4"/>
        <v>1.0794520547945206</v>
      </c>
      <c r="K314" s="89">
        <f>ROUND($I314*(1+Preferred_Return_Rate)^tblPref[[#This Row],[Pref Period in Years]]-I314,2)</f>
        <v>15159.46</v>
      </c>
    </row>
    <row r="315" spans="1:11" x14ac:dyDescent="0.25">
      <c r="A315" s="88" t="s">
        <v>99</v>
      </c>
      <c r="C315" s="88" t="s">
        <v>91</v>
      </c>
      <c r="D315" s="90" t="s">
        <v>4</v>
      </c>
      <c r="E315" s="98" t="s">
        <v>91</v>
      </c>
      <c r="G315" s="90">
        <v>8402</v>
      </c>
      <c r="H315" s="93">
        <v>41275</v>
      </c>
      <c r="I315" s="89">
        <v>35769.5</v>
      </c>
      <c r="J315" s="94">
        <f t="shared" si="4"/>
        <v>1</v>
      </c>
      <c r="K315" s="89">
        <f>ROUND($I315*(1+Preferred_Return_Rate)^tblPref[[#This Row],[Pref Period in Years]]-I315,2)</f>
        <v>1430.78</v>
      </c>
    </row>
    <row r="316" spans="1:11" x14ac:dyDescent="0.25">
      <c r="A316" s="88" t="s">
        <v>99</v>
      </c>
      <c r="C316" s="88" t="s">
        <v>91</v>
      </c>
      <c r="D316" s="90" t="s">
        <v>4</v>
      </c>
      <c r="E316" s="98" t="s">
        <v>91</v>
      </c>
      <c r="G316" s="90">
        <v>8402</v>
      </c>
      <c r="H316" s="93">
        <v>41316</v>
      </c>
      <c r="I316" s="89">
        <v>70823.62</v>
      </c>
      <c r="J316" s="94">
        <f t="shared" si="4"/>
        <v>0.88767123287671235</v>
      </c>
      <c r="K316" s="89">
        <f>ROUND($I316*(1+Preferred_Return_Rate)^tblPref[[#This Row],[Pref Period in Years]]-I316,2)</f>
        <v>2509.16</v>
      </c>
    </row>
    <row r="317" spans="1:11" x14ac:dyDescent="0.25">
      <c r="A317" s="88" t="s">
        <v>99</v>
      </c>
      <c r="C317" s="88" t="s">
        <v>92</v>
      </c>
      <c r="D317" s="90" t="s">
        <v>4</v>
      </c>
      <c r="E317" s="98" t="s">
        <v>92</v>
      </c>
      <c r="G317" s="90">
        <v>8395</v>
      </c>
      <c r="H317" s="93">
        <v>40544</v>
      </c>
      <c r="I317" s="89">
        <v>643.85</v>
      </c>
      <c r="J317" s="94">
        <f t="shared" si="4"/>
        <v>3.0027397260273974</v>
      </c>
      <c r="K317" s="89">
        <f>ROUND($I317*(1+Preferred_Return_Rate)^tblPref[[#This Row],[Pref Period in Years]]-I317,2)</f>
        <v>80.47</v>
      </c>
    </row>
    <row r="318" spans="1:11" x14ac:dyDescent="0.25">
      <c r="A318" s="88" t="s">
        <v>99</v>
      </c>
      <c r="C318" s="88" t="s">
        <v>92</v>
      </c>
      <c r="D318" s="90" t="s">
        <v>4</v>
      </c>
      <c r="E318" s="98" t="s">
        <v>92</v>
      </c>
      <c r="G318" s="90">
        <v>8395</v>
      </c>
      <c r="H318" s="93">
        <v>40564</v>
      </c>
      <c r="I318" s="89">
        <v>7786.31</v>
      </c>
      <c r="J318" s="94">
        <f t="shared" si="4"/>
        <v>2.9479452054794519</v>
      </c>
      <c r="K318" s="89">
        <f>ROUND($I318*(1+Preferred_Return_Rate)^tblPref[[#This Row],[Pref Period in Years]]-I318,2)</f>
        <v>954.37</v>
      </c>
    </row>
    <row r="319" spans="1:11" x14ac:dyDescent="0.25">
      <c r="A319" s="88" t="s">
        <v>99</v>
      </c>
      <c r="C319" s="88" t="s">
        <v>92</v>
      </c>
      <c r="D319" s="90" t="s">
        <v>4</v>
      </c>
      <c r="E319" s="98" t="s">
        <v>92</v>
      </c>
      <c r="G319" s="90">
        <v>8395</v>
      </c>
      <c r="H319" s="93">
        <v>40585</v>
      </c>
      <c r="I319" s="89">
        <v>3505.41</v>
      </c>
      <c r="J319" s="94">
        <f t="shared" si="4"/>
        <v>2.8904109589041096</v>
      </c>
      <c r="K319" s="89">
        <f>ROUND($I319*(1+Preferred_Return_Rate)^tblPref[[#This Row],[Pref Period in Years]]-I319,2)</f>
        <v>420.79</v>
      </c>
    </row>
    <row r="320" spans="1:11" x14ac:dyDescent="0.25">
      <c r="A320" s="88" t="s">
        <v>99</v>
      </c>
      <c r="C320" s="88" t="s">
        <v>92</v>
      </c>
      <c r="D320" s="90" t="s">
        <v>4</v>
      </c>
      <c r="E320" s="98" t="s">
        <v>92</v>
      </c>
      <c r="G320" s="90">
        <v>8395</v>
      </c>
      <c r="H320" s="93">
        <v>40589</v>
      </c>
      <c r="I320" s="89">
        <v>8584.68</v>
      </c>
      <c r="J320" s="94">
        <f t="shared" si="4"/>
        <v>2.8794520547945206</v>
      </c>
      <c r="K320" s="89">
        <f>ROUND($I320*(1+Preferred_Return_Rate)^tblPref[[#This Row],[Pref Period in Years]]-I320,2)</f>
        <v>1026.3699999999999</v>
      </c>
    </row>
    <row r="321" spans="1:11" x14ac:dyDescent="0.25">
      <c r="A321" s="88" t="s">
        <v>99</v>
      </c>
      <c r="C321" s="88" t="s">
        <v>92</v>
      </c>
      <c r="D321" s="90" t="s">
        <v>4</v>
      </c>
      <c r="E321" s="98" t="s">
        <v>92</v>
      </c>
      <c r="G321" s="90">
        <v>8395</v>
      </c>
      <c r="H321" s="93">
        <v>40662</v>
      </c>
      <c r="I321" s="89">
        <v>7578.84</v>
      </c>
      <c r="J321" s="94">
        <f t="shared" si="4"/>
        <v>2.6794520547945204</v>
      </c>
      <c r="K321" s="89">
        <f>ROUND($I321*(1+Preferred_Return_Rate)^tblPref[[#This Row],[Pref Period in Years]]-I321,2)</f>
        <v>839.82</v>
      </c>
    </row>
    <row r="322" spans="1:11" x14ac:dyDescent="0.25">
      <c r="A322" s="88" t="s">
        <v>99</v>
      </c>
      <c r="C322" s="88" t="s">
        <v>92</v>
      </c>
      <c r="D322" s="90" t="s">
        <v>4</v>
      </c>
      <c r="E322" s="98" t="s">
        <v>92</v>
      </c>
      <c r="G322" s="90">
        <v>8395</v>
      </c>
      <c r="H322" s="93">
        <v>40745</v>
      </c>
      <c r="I322" s="89">
        <v>14307.8</v>
      </c>
      <c r="J322" s="94">
        <f t="shared" si="4"/>
        <v>2.452054794520548</v>
      </c>
      <c r="K322" s="89">
        <f>ROUND($I322*(1+Preferred_Return_Rate)^tblPref[[#This Row],[Pref Period in Years]]-I322,2)</f>
        <v>1444.34</v>
      </c>
    </row>
    <row r="323" spans="1:11" x14ac:dyDescent="0.25">
      <c r="A323" s="88" t="s">
        <v>99</v>
      </c>
      <c r="C323" s="88" t="s">
        <v>92</v>
      </c>
      <c r="D323" s="90" t="s">
        <v>4</v>
      </c>
      <c r="E323" s="98" t="s">
        <v>92</v>
      </c>
      <c r="G323" s="90">
        <v>8395</v>
      </c>
      <c r="H323" s="93">
        <v>40792</v>
      </c>
      <c r="I323" s="89">
        <v>3576.95</v>
      </c>
      <c r="J323" s="94">
        <f t="shared" si="4"/>
        <v>2.3232876712328765</v>
      </c>
      <c r="K323" s="89">
        <f>ROUND($I323*(1+Preferred_Return_Rate)^tblPref[[#This Row],[Pref Period in Years]]-I323,2)</f>
        <v>341.25</v>
      </c>
    </row>
    <row r="324" spans="1:11" x14ac:dyDescent="0.25">
      <c r="A324" s="88" t="s">
        <v>99</v>
      </c>
      <c r="C324" s="88" t="s">
        <v>92</v>
      </c>
      <c r="D324" s="90" t="s">
        <v>4</v>
      </c>
      <c r="E324" s="98" t="s">
        <v>92</v>
      </c>
      <c r="G324" s="90">
        <v>8395</v>
      </c>
      <c r="H324" s="93">
        <v>40857</v>
      </c>
      <c r="I324" s="89">
        <v>1144.6199999999999</v>
      </c>
      <c r="J324" s="94">
        <f t="shared" si="4"/>
        <v>2.1452054794520548</v>
      </c>
      <c r="K324" s="89">
        <f>ROUND($I324*(1+Preferred_Return_Rate)^tblPref[[#This Row],[Pref Period in Years]]-I324,2)</f>
        <v>100.47</v>
      </c>
    </row>
    <row r="325" spans="1:11" x14ac:dyDescent="0.25">
      <c r="A325" s="88" t="s">
        <v>99</v>
      </c>
      <c r="C325" s="88" t="s">
        <v>92</v>
      </c>
      <c r="D325" s="90" t="s">
        <v>4</v>
      </c>
      <c r="E325" s="98" t="s">
        <v>92</v>
      </c>
      <c r="G325" s="90">
        <v>8395</v>
      </c>
      <c r="H325" s="93">
        <v>40909</v>
      </c>
      <c r="I325" s="89">
        <v>429.23</v>
      </c>
      <c r="J325" s="94">
        <f t="shared" si="4"/>
        <v>2.0027397260273974</v>
      </c>
      <c r="K325" s="89">
        <f>ROUND($I325*(1+Preferred_Return_Rate)^tblPref[[#This Row],[Pref Period in Years]]-I325,2)</f>
        <v>35.08</v>
      </c>
    </row>
    <row r="326" spans="1:11" x14ac:dyDescent="0.25">
      <c r="A326" s="88" t="s">
        <v>99</v>
      </c>
      <c r="C326" s="88" t="s">
        <v>92</v>
      </c>
      <c r="D326" s="90" t="s">
        <v>4</v>
      </c>
      <c r="E326" s="98" t="s">
        <v>92</v>
      </c>
      <c r="G326" s="90">
        <v>8395</v>
      </c>
      <c r="H326" s="93">
        <v>40940</v>
      </c>
      <c r="I326" s="89">
        <v>5293.89</v>
      </c>
      <c r="J326" s="94">
        <f t="shared" ref="J326:J384" si="5">((Period_End_Date-$H326+1)/365)</f>
        <v>1.9178082191780821</v>
      </c>
      <c r="K326" s="89">
        <f>ROUND($I326*(1+Preferred_Return_Rate)^tblPref[[#This Row],[Pref Period in Years]]-I326,2)</f>
        <v>413.55</v>
      </c>
    </row>
    <row r="327" spans="1:11" x14ac:dyDescent="0.25">
      <c r="A327" s="88" t="s">
        <v>99</v>
      </c>
      <c r="C327" s="88" t="s">
        <v>92</v>
      </c>
      <c r="D327" s="90" t="s">
        <v>4</v>
      </c>
      <c r="E327" s="98" t="s">
        <v>92</v>
      </c>
      <c r="G327" s="90">
        <v>8395</v>
      </c>
      <c r="H327" s="93">
        <v>41080</v>
      </c>
      <c r="I327" s="89">
        <v>1073.0899999999999</v>
      </c>
      <c r="J327" s="94">
        <f t="shared" si="5"/>
        <v>1.5342465753424657</v>
      </c>
      <c r="K327" s="89">
        <f>ROUND($I327*(1+Preferred_Return_Rate)^tblPref[[#This Row],[Pref Period in Years]]-I327,2)</f>
        <v>66.55</v>
      </c>
    </row>
    <row r="328" spans="1:11" x14ac:dyDescent="0.25">
      <c r="A328" s="88" t="s">
        <v>99</v>
      </c>
      <c r="C328" s="88" t="s">
        <v>92</v>
      </c>
      <c r="D328" s="90" t="s">
        <v>4</v>
      </c>
      <c r="E328" s="98" t="s">
        <v>92</v>
      </c>
      <c r="G328" s="90">
        <v>8395</v>
      </c>
      <c r="H328" s="93">
        <v>41246</v>
      </c>
      <c r="I328" s="89">
        <v>7010.83</v>
      </c>
      <c r="J328" s="94">
        <f t="shared" si="5"/>
        <v>1.0794520547945206</v>
      </c>
      <c r="K328" s="89">
        <f>ROUND($I328*(1+Preferred_Return_Rate)^tblPref[[#This Row],[Pref Period in Years]]-I328,2)</f>
        <v>303.19</v>
      </c>
    </row>
    <row r="329" spans="1:11" x14ac:dyDescent="0.25">
      <c r="A329" s="88" t="s">
        <v>99</v>
      </c>
      <c r="C329" s="88" t="s">
        <v>92</v>
      </c>
      <c r="D329" s="90" t="s">
        <v>4</v>
      </c>
      <c r="E329" s="98" t="s">
        <v>92</v>
      </c>
      <c r="G329" s="90">
        <v>8395</v>
      </c>
      <c r="H329" s="93">
        <v>41275</v>
      </c>
      <c r="I329" s="89">
        <v>715.39</v>
      </c>
      <c r="J329" s="94">
        <f t="shared" si="5"/>
        <v>1</v>
      </c>
      <c r="K329" s="89">
        <f>ROUND($I329*(1+Preferred_Return_Rate)^tblPref[[#This Row],[Pref Period in Years]]-I329,2)</f>
        <v>28.62</v>
      </c>
    </row>
    <row r="330" spans="1:11" x14ac:dyDescent="0.25">
      <c r="A330" s="88" t="s">
        <v>99</v>
      </c>
      <c r="C330" s="88" t="s">
        <v>92</v>
      </c>
      <c r="D330" s="90" t="s">
        <v>4</v>
      </c>
      <c r="E330" s="98" t="s">
        <v>92</v>
      </c>
      <c r="G330" s="90">
        <v>8395</v>
      </c>
      <c r="H330" s="93">
        <v>41316</v>
      </c>
      <c r="I330" s="89">
        <v>1416.47</v>
      </c>
      <c r="J330" s="94">
        <f t="shared" si="5"/>
        <v>0.88767123287671235</v>
      </c>
      <c r="K330" s="89">
        <f>ROUND($I330*(1+Preferred_Return_Rate)^tblPref[[#This Row],[Pref Period in Years]]-I330,2)</f>
        <v>50.18</v>
      </c>
    </row>
    <row r="331" spans="1:11" x14ac:dyDescent="0.25">
      <c r="A331" s="88" t="s">
        <v>99</v>
      </c>
      <c r="C331" s="88" t="s">
        <v>93</v>
      </c>
      <c r="D331" s="90" t="s">
        <v>4</v>
      </c>
      <c r="E331" s="98" t="s">
        <v>93</v>
      </c>
      <c r="G331" s="90">
        <v>8383</v>
      </c>
      <c r="H331" s="93">
        <v>40544</v>
      </c>
      <c r="I331" s="89">
        <v>3219.26</v>
      </c>
      <c r="J331" s="94">
        <f t="shared" si="5"/>
        <v>3.0027397260273974</v>
      </c>
      <c r="K331" s="89">
        <f>ROUND($I331*(1+Preferred_Return_Rate)^tblPref[[#This Row],[Pref Period in Years]]-I331,2)</f>
        <v>402.36</v>
      </c>
    </row>
    <row r="332" spans="1:11" x14ac:dyDescent="0.25">
      <c r="A332" s="88" t="s">
        <v>99</v>
      </c>
      <c r="C332" s="88" t="s">
        <v>93</v>
      </c>
      <c r="D332" s="90" t="s">
        <v>4</v>
      </c>
      <c r="E332" s="98" t="s">
        <v>93</v>
      </c>
      <c r="G332" s="90">
        <v>8383</v>
      </c>
      <c r="H332" s="93">
        <v>40564</v>
      </c>
      <c r="I332" s="89">
        <v>38931.53</v>
      </c>
      <c r="J332" s="94">
        <f t="shared" si="5"/>
        <v>2.9479452054794519</v>
      </c>
      <c r="K332" s="89">
        <f>ROUND($I332*(1+Preferred_Return_Rate)^tblPref[[#This Row],[Pref Period in Years]]-I332,2)</f>
        <v>4771.83</v>
      </c>
    </row>
    <row r="333" spans="1:11" x14ac:dyDescent="0.25">
      <c r="A333" s="88" t="s">
        <v>99</v>
      </c>
      <c r="C333" s="88" t="s">
        <v>93</v>
      </c>
      <c r="D333" s="90" t="s">
        <v>4</v>
      </c>
      <c r="E333" s="98" t="s">
        <v>93</v>
      </c>
      <c r="G333" s="90">
        <v>8383</v>
      </c>
      <c r="H333" s="93">
        <v>40585</v>
      </c>
      <c r="I333" s="89">
        <v>17527.060000000001</v>
      </c>
      <c r="J333" s="94">
        <f t="shared" si="5"/>
        <v>2.8904109589041096</v>
      </c>
      <c r="K333" s="89">
        <f>ROUND($I333*(1+Preferred_Return_Rate)^tblPref[[#This Row],[Pref Period in Years]]-I333,2)</f>
        <v>2103.94</v>
      </c>
    </row>
    <row r="334" spans="1:11" x14ac:dyDescent="0.25">
      <c r="A334" s="88" t="s">
        <v>99</v>
      </c>
      <c r="C334" s="88" t="s">
        <v>93</v>
      </c>
      <c r="D334" s="90" t="s">
        <v>4</v>
      </c>
      <c r="E334" s="98" t="s">
        <v>93</v>
      </c>
      <c r="G334" s="90">
        <v>8383</v>
      </c>
      <c r="H334" s="93">
        <v>40589</v>
      </c>
      <c r="I334" s="89">
        <v>42923.41</v>
      </c>
      <c r="J334" s="94">
        <f t="shared" si="5"/>
        <v>2.8794520547945206</v>
      </c>
      <c r="K334" s="89">
        <f>ROUND($I334*(1+Preferred_Return_Rate)^tblPref[[#This Row],[Pref Period in Years]]-I334,2)</f>
        <v>5131.8500000000004</v>
      </c>
    </row>
    <row r="335" spans="1:11" x14ac:dyDescent="0.25">
      <c r="A335" s="88" t="s">
        <v>99</v>
      </c>
      <c r="C335" s="88" t="s">
        <v>93</v>
      </c>
      <c r="D335" s="90" t="s">
        <v>4</v>
      </c>
      <c r="E335" s="98" t="s">
        <v>93</v>
      </c>
      <c r="G335" s="90">
        <v>8383</v>
      </c>
      <c r="H335" s="93">
        <v>40662</v>
      </c>
      <c r="I335" s="89">
        <v>37894.21</v>
      </c>
      <c r="J335" s="94">
        <f t="shared" si="5"/>
        <v>2.6794520547945204</v>
      </c>
      <c r="K335" s="89">
        <f>ROUND($I335*(1+Preferred_Return_Rate)^tblPref[[#This Row],[Pref Period in Years]]-I335,2)</f>
        <v>4199.08</v>
      </c>
    </row>
    <row r="336" spans="1:11" x14ac:dyDescent="0.25">
      <c r="A336" s="88" t="s">
        <v>99</v>
      </c>
      <c r="C336" s="88" t="s">
        <v>93</v>
      </c>
      <c r="D336" s="90" t="s">
        <v>4</v>
      </c>
      <c r="E336" s="98" t="s">
        <v>93</v>
      </c>
      <c r="G336" s="90">
        <v>8383</v>
      </c>
      <c r="H336" s="93">
        <v>40745</v>
      </c>
      <c r="I336" s="89">
        <v>71539</v>
      </c>
      <c r="J336" s="94">
        <f t="shared" si="5"/>
        <v>2.452054794520548</v>
      </c>
      <c r="K336" s="89">
        <f>ROUND($I336*(1+Preferred_Return_Rate)^tblPref[[#This Row],[Pref Period in Years]]-I336,2)</f>
        <v>7221.7</v>
      </c>
    </row>
    <row r="337" spans="1:11" x14ac:dyDescent="0.25">
      <c r="A337" s="88" t="s">
        <v>99</v>
      </c>
      <c r="C337" s="88" t="s">
        <v>93</v>
      </c>
      <c r="D337" s="90" t="s">
        <v>4</v>
      </c>
      <c r="E337" s="98" t="s">
        <v>93</v>
      </c>
      <c r="G337" s="90">
        <v>8383</v>
      </c>
      <c r="H337" s="93">
        <v>40792</v>
      </c>
      <c r="I337" s="89">
        <v>17884.75</v>
      </c>
      <c r="J337" s="94">
        <f t="shared" si="5"/>
        <v>2.3232876712328765</v>
      </c>
      <c r="K337" s="89">
        <f>ROUND($I337*(1+Preferred_Return_Rate)^tblPref[[#This Row],[Pref Period in Years]]-I337,2)</f>
        <v>1706.23</v>
      </c>
    </row>
    <row r="338" spans="1:11" x14ac:dyDescent="0.25">
      <c r="A338" s="88" t="s">
        <v>99</v>
      </c>
      <c r="C338" s="88" t="s">
        <v>93</v>
      </c>
      <c r="D338" s="90" t="s">
        <v>4</v>
      </c>
      <c r="E338" s="98" t="s">
        <v>93</v>
      </c>
      <c r="G338" s="90">
        <v>8383</v>
      </c>
      <c r="H338" s="93">
        <v>40857</v>
      </c>
      <c r="I338" s="89">
        <v>5723.12</v>
      </c>
      <c r="J338" s="94">
        <f t="shared" si="5"/>
        <v>2.1452054794520548</v>
      </c>
      <c r="K338" s="89">
        <f>ROUND($I338*(1+Preferred_Return_Rate)^tblPref[[#This Row],[Pref Period in Years]]-I338,2)</f>
        <v>502.36</v>
      </c>
    </row>
    <row r="339" spans="1:11" x14ac:dyDescent="0.25">
      <c r="A339" s="88" t="s">
        <v>99</v>
      </c>
      <c r="C339" s="88" t="s">
        <v>93</v>
      </c>
      <c r="D339" s="90" t="s">
        <v>4</v>
      </c>
      <c r="E339" s="98" t="s">
        <v>93</v>
      </c>
      <c r="G339" s="90">
        <v>8383</v>
      </c>
      <c r="H339" s="93">
        <v>40909</v>
      </c>
      <c r="I339" s="89">
        <v>2146.17</v>
      </c>
      <c r="J339" s="94">
        <f t="shared" si="5"/>
        <v>2.0027397260273974</v>
      </c>
      <c r="K339" s="89">
        <f>ROUND($I339*(1+Preferred_Return_Rate)^tblPref[[#This Row],[Pref Period in Years]]-I339,2)</f>
        <v>175.38</v>
      </c>
    </row>
    <row r="340" spans="1:11" x14ac:dyDescent="0.25">
      <c r="A340" s="88" t="s">
        <v>99</v>
      </c>
      <c r="C340" s="88" t="s">
        <v>93</v>
      </c>
      <c r="D340" s="90" t="s">
        <v>4</v>
      </c>
      <c r="E340" s="98" t="s">
        <v>93</v>
      </c>
      <c r="G340" s="90">
        <v>8383</v>
      </c>
      <c r="H340" s="93">
        <v>40940</v>
      </c>
      <c r="I340" s="89">
        <v>26469.43</v>
      </c>
      <c r="J340" s="94">
        <f t="shared" si="5"/>
        <v>1.9178082191780821</v>
      </c>
      <c r="K340" s="89">
        <f>ROUND($I340*(1+Preferred_Return_Rate)^tblPref[[#This Row],[Pref Period in Years]]-I340,2)</f>
        <v>2067.7600000000002</v>
      </c>
    </row>
    <row r="341" spans="1:11" x14ac:dyDescent="0.25">
      <c r="A341" s="88" t="s">
        <v>99</v>
      </c>
      <c r="C341" s="88" t="s">
        <v>93</v>
      </c>
      <c r="D341" s="90" t="s">
        <v>4</v>
      </c>
      <c r="E341" s="98" t="s">
        <v>93</v>
      </c>
      <c r="G341" s="90">
        <v>8383</v>
      </c>
      <c r="H341" s="93">
        <v>41080</v>
      </c>
      <c r="I341" s="89">
        <v>5365.43</v>
      </c>
      <c r="J341" s="94">
        <f t="shared" si="5"/>
        <v>1.5342465753424657</v>
      </c>
      <c r="K341" s="89">
        <f>ROUND($I341*(1+Preferred_Return_Rate)^tblPref[[#This Row],[Pref Period in Years]]-I341,2)</f>
        <v>332.77</v>
      </c>
    </row>
    <row r="342" spans="1:11" x14ac:dyDescent="0.25">
      <c r="A342" s="88" t="s">
        <v>99</v>
      </c>
      <c r="C342" s="88" t="s">
        <v>93</v>
      </c>
      <c r="D342" s="90" t="s">
        <v>4</v>
      </c>
      <c r="E342" s="98" t="s">
        <v>93</v>
      </c>
      <c r="G342" s="90">
        <v>8383</v>
      </c>
      <c r="H342" s="93">
        <v>41246</v>
      </c>
      <c r="I342" s="89">
        <v>35054.120000000003</v>
      </c>
      <c r="J342" s="94">
        <f t="shared" si="5"/>
        <v>1.0794520547945206</v>
      </c>
      <c r="K342" s="89">
        <f>ROUND($I342*(1+Preferred_Return_Rate)^tblPref[[#This Row],[Pref Period in Years]]-I342,2)</f>
        <v>1515.95</v>
      </c>
    </row>
    <row r="343" spans="1:11" x14ac:dyDescent="0.25">
      <c r="A343" s="88" t="s">
        <v>99</v>
      </c>
      <c r="C343" s="88" t="s">
        <v>93</v>
      </c>
      <c r="D343" s="90" t="s">
        <v>4</v>
      </c>
      <c r="E343" s="98" t="s">
        <v>93</v>
      </c>
      <c r="G343" s="90">
        <v>8383</v>
      </c>
      <c r="H343" s="93">
        <v>41275</v>
      </c>
      <c r="I343" s="89">
        <v>3576.95</v>
      </c>
      <c r="J343" s="94">
        <f t="shared" si="5"/>
        <v>1</v>
      </c>
      <c r="K343" s="89">
        <f>ROUND($I343*(1+Preferred_Return_Rate)^tblPref[[#This Row],[Pref Period in Years]]-I343,2)</f>
        <v>143.08000000000001</v>
      </c>
    </row>
    <row r="344" spans="1:11" x14ac:dyDescent="0.25">
      <c r="A344" s="88" t="s">
        <v>99</v>
      </c>
      <c r="C344" s="88" t="s">
        <v>93</v>
      </c>
      <c r="D344" s="90" t="s">
        <v>4</v>
      </c>
      <c r="E344" s="98" t="s">
        <v>93</v>
      </c>
      <c r="G344" s="90">
        <v>8383</v>
      </c>
      <c r="H344" s="93">
        <v>41316</v>
      </c>
      <c r="I344" s="89">
        <v>7082.36</v>
      </c>
      <c r="J344" s="94">
        <f t="shared" si="5"/>
        <v>0.88767123287671235</v>
      </c>
      <c r="K344" s="89">
        <f>ROUND($I344*(1+Preferred_Return_Rate)^tblPref[[#This Row],[Pref Period in Years]]-I344,2)</f>
        <v>250.92</v>
      </c>
    </row>
    <row r="345" spans="1:11" x14ac:dyDescent="0.25">
      <c r="A345" s="88" t="s">
        <v>99</v>
      </c>
      <c r="C345" s="88" t="s">
        <v>94</v>
      </c>
      <c r="D345" s="90" t="s">
        <v>4</v>
      </c>
      <c r="E345" s="98" t="s">
        <v>94</v>
      </c>
      <c r="G345" s="90">
        <v>8392</v>
      </c>
      <c r="H345" s="93">
        <v>40544</v>
      </c>
      <c r="I345" s="89">
        <v>534.98</v>
      </c>
      <c r="J345" s="94">
        <f t="shared" si="5"/>
        <v>3.0027397260273974</v>
      </c>
      <c r="K345" s="89">
        <f>ROUND($I345*(1+Preferred_Return_Rate)^tblPref[[#This Row],[Pref Period in Years]]-I345,2)</f>
        <v>66.86</v>
      </c>
    </row>
    <row r="346" spans="1:11" x14ac:dyDescent="0.25">
      <c r="A346" s="88" t="s">
        <v>99</v>
      </c>
      <c r="C346" s="88" t="s">
        <v>94</v>
      </c>
      <c r="D346" s="90" t="s">
        <v>4</v>
      </c>
      <c r="E346" s="98" t="s">
        <v>94</v>
      </c>
      <c r="G346" s="90">
        <v>8392</v>
      </c>
      <c r="H346" s="93">
        <v>40564</v>
      </c>
      <c r="I346" s="89">
        <v>6469.64</v>
      </c>
      <c r="J346" s="94">
        <f t="shared" si="5"/>
        <v>2.9479452054794519</v>
      </c>
      <c r="K346" s="89">
        <f>ROUND($I346*(1+Preferred_Return_Rate)^tblPref[[#This Row],[Pref Period in Years]]-I346,2)</f>
        <v>792.98</v>
      </c>
    </row>
    <row r="347" spans="1:11" x14ac:dyDescent="0.25">
      <c r="A347" s="88" t="s">
        <v>99</v>
      </c>
      <c r="C347" s="88" t="s">
        <v>94</v>
      </c>
      <c r="D347" s="90" t="s">
        <v>4</v>
      </c>
      <c r="E347" s="98" t="s">
        <v>94</v>
      </c>
      <c r="G347" s="90">
        <v>8392</v>
      </c>
      <c r="H347" s="93">
        <v>40585</v>
      </c>
      <c r="I347" s="89">
        <v>2912.65</v>
      </c>
      <c r="J347" s="94">
        <f t="shared" si="5"/>
        <v>2.8904109589041096</v>
      </c>
      <c r="K347" s="89">
        <f>ROUND($I347*(1+Preferred_Return_Rate)^tblPref[[#This Row],[Pref Period in Years]]-I347,2)</f>
        <v>349.63</v>
      </c>
    </row>
    <row r="348" spans="1:11" x14ac:dyDescent="0.25">
      <c r="A348" s="88" t="s">
        <v>99</v>
      </c>
      <c r="C348" s="88" t="s">
        <v>94</v>
      </c>
      <c r="D348" s="90" t="s">
        <v>4</v>
      </c>
      <c r="E348" s="98" t="s">
        <v>94</v>
      </c>
      <c r="G348" s="90">
        <v>8392</v>
      </c>
      <c r="H348" s="93">
        <v>40589</v>
      </c>
      <c r="I348" s="89">
        <v>7133.01</v>
      </c>
      <c r="J348" s="94">
        <f t="shared" si="5"/>
        <v>2.8794520547945206</v>
      </c>
      <c r="K348" s="89">
        <f>ROUND($I348*(1+Preferred_Return_Rate)^tblPref[[#This Row],[Pref Period in Years]]-I348,2)</f>
        <v>852.81</v>
      </c>
    </row>
    <row r="349" spans="1:11" x14ac:dyDescent="0.25">
      <c r="A349" s="88" t="s">
        <v>99</v>
      </c>
      <c r="C349" s="88" t="s">
        <v>94</v>
      </c>
      <c r="D349" s="90" t="s">
        <v>4</v>
      </c>
      <c r="E349" s="98" t="s">
        <v>94</v>
      </c>
      <c r="G349" s="90">
        <v>8392</v>
      </c>
      <c r="H349" s="93">
        <v>40662</v>
      </c>
      <c r="I349" s="89">
        <v>6297.26</v>
      </c>
      <c r="J349" s="94">
        <f t="shared" si="5"/>
        <v>2.6794520547945204</v>
      </c>
      <c r="K349" s="89">
        <f>ROUND($I349*(1+Preferred_Return_Rate)^tblPref[[#This Row],[Pref Period in Years]]-I349,2)</f>
        <v>697.8</v>
      </c>
    </row>
    <row r="350" spans="1:11" x14ac:dyDescent="0.25">
      <c r="A350" s="88" t="s">
        <v>99</v>
      </c>
      <c r="C350" s="88" t="s">
        <v>94</v>
      </c>
      <c r="D350" s="90" t="s">
        <v>4</v>
      </c>
      <c r="E350" s="98" t="s">
        <v>94</v>
      </c>
      <c r="G350" s="90">
        <v>8392</v>
      </c>
      <c r="H350" s="93">
        <v>40745</v>
      </c>
      <c r="I350" s="89">
        <v>11888.37</v>
      </c>
      <c r="J350" s="94">
        <f t="shared" si="5"/>
        <v>2.452054794520548</v>
      </c>
      <c r="K350" s="89">
        <f>ROUND($I350*(1+Preferred_Return_Rate)^tblPref[[#This Row],[Pref Period in Years]]-I350,2)</f>
        <v>1200.0999999999999</v>
      </c>
    </row>
    <row r="351" spans="1:11" x14ac:dyDescent="0.25">
      <c r="A351" s="88" t="s">
        <v>99</v>
      </c>
      <c r="C351" s="88" t="s">
        <v>94</v>
      </c>
      <c r="D351" s="90" t="s">
        <v>4</v>
      </c>
      <c r="E351" s="98" t="s">
        <v>94</v>
      </c>
      <c r="G351" s="90">
        <v>8392</v>
      </c>
      <c r="H351" s="93">
        <v>40792</v>
      </c>
      <c r="I351" s="89">
        <v>2972.09</v>
      </c>
      <c r="J351" s="94">
        <f t="shared" si="5"/>
        <v>2.3232876712328765</v>
      </c>
      <c r="K351" s="89">
        <f>ROUND($I351*(1+Preferred_Return_Rate)^tblPref[[#This Row],[Pref Period in Years]]-I351,2)</f>
        <v>283.54000000000002</v>
      </c>
    </row>
    <row r="352" spans="1:11" x14ac:dyDescent="0.25">
      <c r="A352" s="88" t="s">
        <v>99</v>
      </c>
      <c r="C352" s="88" t="s">
        <v>94</v>
      </c>
      <c r="D352" s="90" t="s">
        <v>4</v>
      </c>
      <c r="E352" s="98" t="s">
        <v>94</v>
      </c>
      <c r="G352" s="90">
        <v>8392</v>
      </c>
      <c r="H352" s="93">
        <v>40857</v>
      </c>
      <c r="I352" s="89">
        <v>951.07</v>
      </c>
      <c r="J352" s="94">
        <f t="shared" si="5"/>
        <v>2.1452054794520548</v>
      </c>
      <c r="K352" s="89">
        <f>ROUND($I352*(1+Preferred_Return_Rate)^tblPref[[#This Row],[Pref Period in Years]]-I352,2)</f>
        <v>83.48</v>
      </c>
    </row>
    <row r="353" spans="1:11" x14ac:dyDescent="0.25">
      <c r="A353" s="88" t="s">
        <v>99</v>
      </c>
      <c r="C353" s="88" t="s">
        <v>94</v>
      </c>
      <c r="D353" s="90" t="s">
        <v>4</v>
      </c>
      <c r="E353" s="98" t="s">
        <v>94</v>
      </c>
      <c r="G353" s="90">
        <v>8392</v>
      </c>
      <c r="H353" s="93">
        <v>40909</v>
      </c>
      <c r="I353" s="89">
        <v>356.65</v>
      </c>
      <c r="J353" s="94">
        <f t="shared" si="5"/>
        <v>2.0027397260273974</v>
      </c>
      <c r="K353" s="89">
        <f>ROUND($I353*(1+Preferred_Return_Rate)^tblPref[[#This Row],[Pref Period in Years]]-I353,2)</f>
        <v>29.14</v>
      </c>
    </row>
    <row r="354" spans="1:11" x14ac:dyDescent="0.25">
      <c r="A354" s="88" t="s">
        <v>99</v>
      </c>
      <c r="C354" s="88" t="s">
        <v>94</v>
      </c>
      <c r="D354" s="90" t="s">
        <v>4</v>
      </c>
      <c r="E354" s="98" t="s">
        <v>94</v>
      </c>
      <c r="G354" s="90">
        <v>8392</v>
      </c>
      <c r="H354" s="93">
        <v>40940</v>
      </c>
      <c r="I354" s="89">
        <v>4398.6899999999996</v>
      </c>
      <c r="J354" s="94">
        <f t="shared" si="5"/>
        <v>1.9178082191780821</v>
      </c>
      <c r="K354" s="89">
        <f>ROUND($I354*(1+Preferred_Return_Rate)^tblPref[[#This Row],[Pref Period in Years]]-I354,2)</f>
        <v>343.62</v>
      </c>
    </row>
    <row r="355" spans="1:11" x14ac:dyDescent="0.25">
      <c r="A355" s="88" t="s">
        <v>99</v>
      </c>
      <c r="C355" s="88" t="s">
        <v>94</v>
      </c>
      <c r="D355" s="90" t="s">
        <v>4</v>
      </c>
      <c r="E355" s="98" t="s">
        <v>94</v>
      </c>
      <c r="G355" s="90">
        <v>8392</v>
      </c>
      <c r="H355" s="93">
        <v>41080</v>
      </c>
      <c r="I355" s="89">
        <v>891.63</v>
      </c>
      <c r="J355" s="94">
        <f t="shared" si="5"/>
        <v>1.5342465753424657</v>
      </c>
      <c r="K355" s="89">
        <f>ROUND($I355*(1+Preferred_Return_Rate)^tblPref[[#This Row],[Pref Period in Years]]-I355,2)</f>
        <v>55.3</v>
      </c>
    </row>
    <row r="356" spans="1:11" x14ac:dyDescent="0.25">
      <c r="A356" s="88" t="s">
        <v>99</v>
      </c>
      <c r="C356" s="88" t="s">
        <v>94</v>
      </c>
      <c r="D356" s="90" t="s">
        <v>4</v>
      </c>
      <c r="E356" s="98" t="s">
        <v>94</v>
      </c>
      <c r="G356" s="90">
        <v>8392</v>
      </c>
      <c r="H356" s="93">
        <v>41246</v>
      </c>
      <c r="I356" s="89">
        <v>5825.29</v>
      </c>
      <c r="J356" s="94">
        <f t="shared" si="5"/>
        <v>1.0794520547945206</v>
      </c>
      <c r="K356" s="89">
        <f>ROUND($I356*(1+Preferred_Return_Rate)^tblPref[[#This Row],[Pref Period in Years]]-I356,2)</f>
        <v>251.92</v>
      </c>
    </row>
    <row r="357" spans="1:11" x14ac:dyDescent="0.25">
      <c r="A357" s="88" t="s">
        <v>99</v>
      </c>
      <c r="C357" s="88" t="s">
        <v>94</v>
      </c>
      <c r="D357" s="90" t="s">
        <v>4</v>
      </c>
      <c r="E357" s="98" t="s">
        <v>94</v>
      </c>
      <c r="G357" s="90">
        <v>8392</v>
      </c>
      <c r="H357" s="93">
        <v>41275</v>
      </c>
      <c r="I357" s="89">
        <v>594.41999999999996</v>
      </c>
      <c r="J357" s="94">
        <f t="shared" si="5"/>
        <v>1</v>
      </c>
      <c r="K357" s="89">
        <f>ROUND($I357*(1+Preferred_Return_Rate)^tblPref[[#This Row],[Pref Period in Years]]-I357,2)</f>
        <v>23.78</v>
      </c>
    </row>
    <row r="358" spans="1:11" x14ac:dyDescent="0.25">
      <c r="A358" s="88" t="s">
        <v>99</v>
      </c>
      <c r="C358" s="88" t="s">
        <v>94</v>
      </c>
      <c r="D358" s="90" t="s">
        <v>4</v>
      </c>
      <c r="E358" s="98" t="s">
        <v>94</v>
      </c>
      <c r="G358" s="90">
        <v>8392</v>
      </c>
      <c r="H358" s="93">
        <v>41316</v>
      </c>
      <c r="I358" s="89">
        <v>1176.95</v>
      </c>
      <c r="J358" s="94">
        <f t="shared" si="5"/>
        <v>0.88767123287671235</v>
      </c>
      <c r="K358" s="89">
        <f>ROUND($I358*(1+Preferred_Return_Rate)^tblPref[[#This Row],[Pref Period in Years]]-I358,2)</f>
        <v>41.7</v>
      </c>
    </row>
    <row r="359" spans="1:11" x14ac:dyDescent="0.25">
      <c r="A359" s="88" t="s">
        <v>99</v>
      </c>
      <c r="C359" s="88" t="s">
        <v>95</v>
      </c>
      <c r="D359" s="90" t="s">
        <v>4</v>
      </c>
      <c r="E359" s="98" t="s">
        <v>95</v>
      </c>
      <c r="G359" s="90">
        <v>8378</v>
      </c>
      <c r="H359" s="93">
        <v>40544</v>
      </c>
      <c r="I359" s="89">
        <v>4404.29</v>
      </c>
      <c r="J359" s="94">
        <f t="shared" si="5"/>
        <v>3.0027397260273974</v>
      </c>
      <c r="K359" s="89">
        <f>ROUND($I359*(1+Preferred_Return_Rate)^tblPref[[#This Row],[Pref Period in Years]]-I359,2)</f>
        <v>550.47</v>
      </c>
    </row>
    <row r="360" spans="1:11" x14ac:dyDescent="0.25">
      <c r="A360" s="88" t="s">
        <v>99</v>
      </c>
      <c r="C360" s="88" t="s">
        <v>95</v>
      </c>
      <c r="D360" s="90" t="s">
        <v>4</v>
      </c>
      <c r="E360" s="98" t="s">
        <v>95</v>
      </c>
      <c r="G360" s="90">
        <v>8378</v>
      </c>
      <c r="H360" s="93">
        <v>40563</v>
      </c>
      <c r="I360" s="89">
        <v>48795.18</v>
      </c>
      <c r="J360" s="94">
        <f t="shared" si="5"/>
        <v>2.9506849315068493</v>
      </c>
      <c r="K360" s="89">
        <f>ROUND($I360*(1+Preferred_Return_Rate)^tblPref[[#This Row],[Pref Period in Years]]-I360,2)</f>
        <v>5986.7</v>
      </c>
    </row>
    <row r="361" spans="1:11" x14ac:dyDescent="0.25">
      <c r="A361" s="88" t="s">
        <v>99</v>
      </c>
      <c r="C361" s="88" t="s">
        <v>95</v>
      </c>
      <c r="D361" s="90" t="s">
        <v>4</v>
      </c>
      <c r="E361" s="98" t="s">
        <v>95</v>
      </c>
      <c r="G361" s="90">
        <v>8378</v>
      </c>
      <c r="H361" s="93">
        <v>40661</v>
      </c>
      <c r="I361" s="89">
        <v>32530.12</v>
      </c>
      <c r="J361" s="94">
        <f t="shared" si="5"/>
        <v>2.6821917808219178</v>
      </c>
      <c r="K361" s="89">
        <f>ROUND($I361*(1+Preferred_Return_Rate)^tblPref[[#This Row],[Pref Period in Years]]-I361,2)</f>
        <v>3608.57</v>
      </c>
    </row>
    <row r="362" spans="1:11" x14ac:dyDescent="0.25">
      <c r="A362" s="88" t="s">
        <v>99</v>
      </c>
      <c r="C362" s="88" t="s">
        <v>95</v>
      </c>
      <c r="D362" s="90" t="s">
        <v>4</v>
      </c>
      <c r="E362" s="98" t="s">
        <v>95</v>
      </c>
      <c r="G362" s="90">
        <v>8378</v>
      </c>
      <c r="H362" s="93">
        <v>40745</v>
      </c>
      <c r="I362" s="89">
        <v>155060.23000000001</v>
      </c>
      <c r="J362" s="94">
        <f t="shared" si="5"/>
        <v>2.452054794520548</v>
      </c>
      <c r="K362" s="89">
        <f>ROUND($I362*(1+Preferred_Return_Rate)^tblPref[[#This Row],[Pref Period in Years]]-I362,2)</f>
        <v>15652.97</v>
      </c>
    </row>
    <row r="363" spans="1:11" x14ac:dyDescent="0.25">
      <c r="A363" s="88" t="s">
        <v>99</v>
      </c>
      <c r="C363" s="88" t="s">
        <v>95</v>
      </c>
      <c r="D363" s="90" t="s">
        <v>4</v>
      </c>
      <c r="E363" s="98" t="s">
        <v>95</v>
      </c>
      <c r="G363" s="90">
        <v>8378</v>
      </c>
      <c r="H363" s="93">
        <v>40792</v>
      </c>
      <c r="I363" s="89">
        <v>27108.43</v>
      </c>
      <c r="J363" s="94">
        <f t="shared" si="5"/>
        <v>2.3232876712328765</v>
      </c>
      <c r="K363" s="89">
        <f>ROUND($I363*(1+Preferred_Return_Rate)^tblPref[[#This Row],[Pref Period in Years]]-I363,2)</f>
        <v>2586.19</v>
      </c>
    </row>
    <row r="364" spans="1:11" x14ac:dyDescent="0.25">
      <c r="A364" s="88" t="s">
        <v>99</v>
      </c>
      <c r="C364" s="88" t="s">
        <v>95</v>
      </c>
      <c r="D364" s="90" t="s">
        <v>4</v>
      </c>
      <c r="E364" s="98" t="s">
        <v>95</v>
      </c>
      <c r="G364" s="90">
        <v>8378</v>
      </c>
      <c r="H364" s="93">
        <v>40857</v>
      </c>
      <c r="I364" s="89">
        <v>16265.06</v>
      </c>
      <c r="J364" s="94">
        <f t="shared" si="5"/>
        <v>2.1452054794520548</v>
      </c>
      <c r="K364" s="89">
        <f>ROUND($I364*(1+Preferred_Return_Rate)^tblPref[[#This Row],[Pref Period in Years]]-I364,2)</f>
        <v>1427.7</v>
      </c>
    </row>
    <row r="365" spans="1:11" x14ac:dyDescent="0.25">
      <c r="A365" s="88" t="s">
        <v>99</v>
      </c>
      <c r="C365" s="88" t="s">
        <v>95</v>
      </c>
      <c r="D365" s="90" t="s">
        <v>4</v>
      </c>
      <c r="E365" s="98" t="s">
        <v>95</v>
      </c>
      <c r="G365" s="90">
        <v>8378</v>
      </c>
      <c r="H365" s="93">
        <v>40909</v>
      </c>
      <c r="I365" s="89">
        <v>3848.73</v>
      </c>
      <c r="J365" s="94">
        <f t="shared" si="5"/>
        <v>2.0027397260273974</v>
      </c>
      <c r="K365" s="89">
        <f>ROUND($I365*(1+Preferred_Return_Rate)^tblPref[[#This Row],[Pref Period in Years]]-I365,2)</f>
        <v>314.5</v>
      </c>
    </row>
    <row r="366" spans="1:11" x14ac:dyDescent="0.25">
      <c r="A366" s="88" t="s">
        <v>99</v>
      </c>
      <c r="C366" s="88" t="s">
        <v>95</v>
      </c>
      <c r="D366" s="90" t="s">
        <v>4</v>
      </c>
      <c r="E366" s="98" t="s">
        <v>95</v>
      </c>
      <c r="G366" s="90">
        <v>8378</v>
      </c>
      <c r="H366" s="93">
        <v>40940</v>
      </c>
      <c r="I366" s="89">
        <v>40120.480000000003</v>
      </c>
      <c r="J366" s="94">
        <f t="shared" si="5"/>
        <v>1.9178082191780821</v>
      </c>
      <c r="K366" s="89">
        <f>ROUND($I366*(1+Preferred_Return_Rate)^tblPref[[#This Row],[Pref Period in Years]]-I366,2)</f>
        <v>3134.17</v>
      </c>
    </row>
    <row r="367" spans="1:11" x14ac:dyDescent="0.25">
      <c r="A367" s="88" t="s">
        <v>99</v>
      </c>
      <c r="C367" s="88" t="s">
        <v>95</v>
      </c>
      <c r="D367" s="90" t="s">
        <v>4</v>
      </c>
      <c r="E367" s="98" t="s">
        <v>95</v>
      </c>
      <c r="G367" s="90">
        <v>8378</v>
      </c>
      <c r="H367" s="93">
        <v>41047</v>
      </c>
      <c r="I367" s="89">
        <v>65060.24</v>
      </c>
      <c r="J367" s="94">
        <f t="shared" si="5"/>
        <v>1.6246575342465754</v>
      </c>
      <c r="K367" s="89">
        <f>ROUND($I367*(1+Preferred_Return_Rate)^tblPref[[#This Row],[Pref Period in Years]]-I367,2)</f>
        <v>4280.58</v>
      </c>
    </row>
    <row r="368" spans="1:11" x14ac:dyDescent="0.25">
      <c r="A368" s="88" t="s">
        <v>99</v>
      </c>
      <c r="C368" s="88" t="s">
        <v>95</v>
      </c>
      <c r="D368" s="90" t="s">
        <v>4</v>
      </c>
      <c r="E368" s="98" t="s">
        <v>95</v>
      </c>
      <c r="G368" s="90">
        <v>8378</v>
      </c>
      <c r="H368" s="93">
        <v>41141</v>
      </c>
      <c r="I368" s="89">
        <v>10843.37</v>
      </c>
      <c r="J368" s="94">
        <f t="shared" si="5"/>
        <v>1.3671232876712329</v>
      </c>
      <c r="K368" s="89">
        <f>ROUND($I368*(1+Preferred_Return_Rate)^tblPref[[#This Row],[Pref Period in Years]]-I368,2)</f>
        <v>597.29</v>
      </c>
    </row>
    <row r="369" spans="1:11" x14ac:dyDescent="0.25">
      <c r="A369" s="88" t="s">
        <v>99</v>
      </c>
      <c r="C369" s="88" t="s">
        <v>95</v>
      </c>
      <c r="D369" s="90" t="s">
        <v>4</v>
      </c>
      <c r="E369" s="98" t="s">
        <v>95</v>
      </c>
      <c r="G369" s="90">
        <v>8378</v>
      </c>
      <c r="H369" s="93">
        <v>41246</v>
      </c>
      <c r="I369" s="89">
        <v>53132.53</v>
      </c>
      <c r="J369" s="94">
        <f t="shared" si="5"/>
        <v>1.0794520547945206</v>
      </c>
      <c r="K369" s="89">
        <f>ROUND($I369*(1+Preferred_Return_Rate)^tblPref[[#This Row],[Pref Period in Years]]-I369,2)</f>
        <v>2297.7600000000002</v>
      </c>
    </row>
    <row r="370" spans="1:11" x14ac:dyDescent="0.25">
      <c r="A370" s="88" t="s">
        <v>99</v>
      </c>
      <c r="C370" s="88" t="s">
        <v>95</v>
      </c>
      <c r="D370" s="90" t="s">
        <v>4</v>
      </c>
      <c r="E370" s="98" t="s">
        <v>95</v>
      </c>
      <c r="G370" s="90">
        <v>8378</v>
      </c>
      <c r="H370" s="93">
        <v>41275</v>
      </c>
      <c r="I370" s="89">
        <v>4682.07</v>
      </c>
      <c r="J370" s="94">
        <f t="shared" si="5"/>
        <v>1</v>
      </c>
      <c r="K370" s="89">
        <f>ROUND($I370*(1+Preferred_Return_Rate)^tblPref[[#This Row],[Pref Period in Years]]-I370,2)</f>
        <v>187.28</v>
      </c>
    </row>
    <row r="371" spans="1:11" x14ac:dyDescent="0.25">
      <c r="A371" s="88" t="s">
        <v>99</v>
      </c>
      <c r="C371" s="88" t="s">
        <v>95</v>
      </c>
      <c r="D371" s="90" t="s">
        <v>4</v>
      </c>
      <c r="E371" s="98" t="s">
        <v>95</v>
      </c>
      <c r="G371" s="90">
        <v>8378</v>
      </c>
      <c r="H371" s="93">
        <v>41316</v>
      </c>
      <c r="I371" s="89">
        <v>37409.64</v>
      </c>
      <c r="J371" s="94">
        <f t="shared" si="5"/>
        <v>0.88767123287671235</v>
      </c>
      <c r="K371" s="89">
        <f>ROUND($I371*(1+Preferred_Return_Rate)^tblPref[[#This Row],[Pref Period in Years]]-I371,2)</f>
        <v>1325.36</v>
      </c>
    </row>
    <row r="372" spans="1:11" x14ac:dyDescent="0.25">
      <c r="A372" s="88" t="s">
        <v>99</v>
      </c>
      <c r="C372" s="88" t="s">
        <v>96</v>
      </c>
      <c r="D372" s="90" t="s">
        <v>4</v>
      </c>
      <c r="E372" s="98" t="s">
        <v>96</v>
      </c>
      <c r="G372" s="90">
        <v>8400</v>
      </c>
      <c r="H372" s="93">
        <v>40544</v>
      </c>
      <c r="I372" s="89">
        <v>244682.43</v>
      </c>
      <c r="J372" s="94">
        <f t="shared" si="5"/>
        <v>3.0027397260273974</v>
      </c>
      <c r="K372" s="89">
        <f>ROUND($I372*(1+Preferred_Return_Rate)^tblPref[[#This Row],[Pref Period in Years]]-I372,2)</f>
        <v>30581.599999999999</v>
      </c>
    </row>
    <row r="373" spans="1:11" x14ac:dyDescent="0.25">
      <c r="A373" s="88" t="s">
        <v>99</v>
      </c>
      <c r="C373" s="88" t="s">
        <v>96</v>
      </c>
      <c r="D373" s="90" t="s">
        <v>4</v>
      </c>
      <c r="E373" s="98" t="s">
        <v>96</v>
      </c>
      <c r="G373" s="90">
        <v>8400</v>
      </c>
      <c r="H373" s="93">
        <v>40563</v>
      </c>
      <c r="I373" s="89">
        <v>2710843.4</v>
      </c>
      <c r="J373" s="94">
        <f t="shared" si="5"/>
        <v>2.9506849315068493</v>
      </c>
      <c r="K373" s="89">
        <f>ROUND($I373*(1+Preferred_Return_Rate)^tblPref[[#This Row],[Pref Period in Years]]-I373,2)</f>
        <v>332594.52</v>
      </c>
    </row>
    <row r="374" spans="1:11" x14ac:dyDescent="0.25">
      <c r="A374" s="88" t="s">
        <v>99</v>
      </c>
      <c r="C374" s="88" t="s">
        <v>96</v>
      </c>
      <c r="D374" s="90" t="s">
        <v>4</v>
      </c>
      <c r="E374" s="98" t="s">
        <v>96</v>
      </c>
      <c r="G374" s="90">
        <v>8400</v>
      </c>
      <c r="H374" s="93">
        <v>40661</v>
      </c>
      <c r="I374" s="89">
        <v>1807228.92</v>
      </c>
      <c r="J374" s="94">
        <f t="shared" si="5"/>
        <v>2.6821917808219178</v>
      </c>
      <c r="K374" s="89">
        <f>ROUND($I374*(1+Preferred_Return_Rate)^tblPref[[#This Row],[Pref Period in Years]]-I374,2)</f>
        <v>200475.85</v>
      </c>
    </row>
    <row r="375" spans="1:11" x14ac:dyDescent="0.25">
      <c r="A375" s="88" t="s">
        <v>99</v>
      </c>
      <c r="C375" s="88" t="s">
        <v>96</v>
      </c>
      <c r="D375" s="90" t="s">
        <v>4</v>
      </c>
      <c r="E375" s="98" t="s">
        <v>96</v>
      </c>
      <c r="G375" s="90">
        <v>8400</v>
      </c>
      <c r="H375" s="93">
        <v>40745</v>
      </c>
      <c r="I375" s="89">
        <v>8614457.8100000005</v>
      </c>
      <c r="J375" s="94">
        <f t="shared" si="5"/>
        <v>2.452054794520548</v>
      </c>
      <c r="K375" s="89">
        <f>ROUND($I375*(1+Preferred_Return_Rate)^tblPref[[#This Row],[Pref Period in Years]]-I375,2)</f>
        <v>869609.55</v>
      </c>
    </row>
    <row r="376" spans="1:11" x14ac:dyDescent="0.25">
      <c r="A376" s="88" t="s">
        <v>99</v>
      </c>
      <c r="C376" s="88" t="s">
        <v>96</v>
      </c>
      <c r="D376" s="90" t="s">
        <v>4</v>
      </c>
      <c r="E376" s="98" t="s">
        <v>96</v>
      </c>
      <c r="G376" s="90">
        <v>8400</v>
      </c>
      <c r="H376" s="93">
        <v>40792</v>
      </c>
      <c r="I376" s="89">
        <v>1506024.1</v>
      </c>
      <c r="J376" s="94">
        <f t="shared" si="5"/>
        <v>2.3232876712328765</v>
      </c>
      <c r="K376" s="89">
        <f>ROUND($I376*(1+Preferred_Return_Rate)^tblPref[[#This Row],[Pref Period in Years]]-I376,2)</f>
        <v>143677.01999999999</v>
      </c>
    </row>
    <row r="377" spans="1:11" x14ac:dyDescent="0.25">
      <c r="A377" s="88" t="s">
        <v>99</v>
      </c>
      <c r="C377" s="88" t="s">
        <v>96</v>
      </c>
      <c r="D377" s="90" t="s">
        <v>4</v>
      </c>
      <c r="E377" s="98" t="s">
        <v>96</v>
      </c>
      <c r="G377" s="90">
        <v>8400</v>
      </c>
      <c r="H377" s="93">
        <v>40857</v>
      </c>
      <c r="I377" s="89">
        <v>903614.47</v>
      </c>
      <c r="J377" s="94">
        <f t="shared" si="5"/>
        <v>2.1452054794520548</v>
      </c>
      <c r="K377" s="89">
        <f>ROUND($I377*(1+Preferred_Return_Rate)^tblPref[[#This Row],[Pref Period in Years]]-I377,2)</f>
        <v>79316.89</v>
      </c>
    </row>
    <row r="378" spans="1:11" x14ac:dyDescent="0.25">
      <c r="A378" s="88" t="s">
        <v>99</v>
      </c>
      <c r="C378" s="88" t="s">
        <v>96</v>
      </c>
      <c r="D378" s="90" t="s">
        <v>4</v>
      </c>
      <c r="E378" s="98" t="s">
        <v>96</v>
      </c>
      <c r="G378" s="90">
        <v>8400</v>
      </c>
      <c r="H378" s="93">
        <v>40909</v>
      </c>
      <c r="I378" s="89">
        <v>213818.23</v>
      </c>
      <c r="J378" s="94">
        <f t="shared" si="5"/>
        <v>2.0027397260273974</v>
      </c>
      <c r="K378" s="89">
        <f>ROUND($I378*(1+Preferred_Return_Rate)^tblPref[[#This Row],[Pref Period in Years]]-I378,2)</f>
        <v>17472.419999999998</v>
      </c>
    </row>
    <row r="379" spans="1:11" x14ac:dyDescent="0.25">
      <c r="A379" s="88" t="s">
        <v>99</v>
      </c>
      <c r="C379" s="88" t="s">
        <v>96</v>
      </c>
      <c r="D379" s="90" t="s">
        <v>4</v>
      </c>
      <c r="E379" s="98" t="s">
        <v>96</v>
      </c>
      <c r="G379" s="90">
        <v>8400</v>
      </c>
      <c r="H379" s="93">
        <v>40940</v>
      </c>
      <c r="I379" s="89">
        <v>2228915.69</v>
      </c>
      <c r="J379" s="94">
        <f t="shared" si="5"/>
        <v>1.9178082191780821</v>
      </c>
      <c r="K379" s="89">
        <f>ROUND($I379*(1+Preferred_Return_Rate)^tblPref[[#This Row],[Pref Period in Years]]-I379,2)</f>
        <v>174120.54</v>
      </c>
    </row>
    <row r="380" spans="1:11" x14ac:dyDescent="0.25">
      <c r="A380" s="88" t="s">
        <v>99</v>
      </c>
      <c r="C380" s="88" t="s">
        <v>96</v>
      </c>
      <c r="D380" s="90" t="s">
        <v>4</v>
      </c>
      <c r="E380" s="98" t="s">
        <v>96</v>
      </c>
      <c r="G380" s="90">
        <v>8400</v>
      </c>
      <c r="H380" s="93">
        <v>41047</v>
      </c>
      <c r="I380" s="89">
        <v>3614457.84</v>
      </c>
      <c r="J380" s="94">
        <f t="shared" si="5"/>
        <v>1.6246575342465754</v>
      </c>
      <c r="K380" s="89">
        <f>ROUND($I380*(1+Preferred_Return_Rate)^tblPref[[#This Row],[Pref Period in Years]]-I380,2)</f>
        <v>237810.28</v>
      </c>
    </row>
    <row r="381" spans="1:11" x14ac:dyDescent="0.25">
      <c r="A381" s="88" t="s">
        <v>99</v>
      </c>
      <c r="C381" s="88" t="s">
        <v>96</v>
      </c>
      <c r="D381" s="90" t="s">
        <v>4</v>
      </c>
      <c r="E381" s="98" t="s">
        <v>96</v>
      </c>
      <c r="G381" s="90">
        <v>8400</v>
      </c>
      <c r="H381" s="93">
        <v>41141</v>
      </c>
      <c r="I381" s="89">
        <v>602409.62</v>
      </c>
      <c r="J381" s="94">
        <f t="shared" si="5"/>
        <v>1.3671232876712329</v>
      </c>
      <c r="K381" s="89">
        <f>ROUND($I381*(1+Preferred_Return_Rate)^tblPref[[#This Row],[Pref Period in Years]]-I381,2)</f>
        <v>33182.6</v>
      </c>
    </row>
    <row r="382" spans="1:11" x14ac:dyDescent="0.25">
      <c r="A382" s="88" t="s">
        <v>99</v>
      </c>
      <c r="C382" s="88" t="s">
        <v>96</v>
      </c>
      <c r="D382" s="90" t="s">
        <v>4</v>
      </c>
      <c r="E382" s="98" t="s">
        <v>96</v>
      </c>
      <c r="G382" s="90">
        <v>8400</v>
      </c>
      <c r="H382" s="93">
        <v>41246</v>
      </c>
      <c r="I382" s="89">
        <v>2951807.22</v>
      </c>
      <c r="J382" s="94">
        <f t="shared" si="5"/>
        <v>1.0794520547945206</v>
      </c>
      <c r="K382" s="89">
        <f>ROUND($I382*(1+Preferred_Return_Rate)^tblPref[[#This Row],[Pref Period in Years]]-I382,2)</f>
        <v>127653.46</v>
      </c>
    </row>
    <row r="383" spans="1:11" x14ac:dyDescent="0.25">
      <c r="A383" s="88" t="s">
        <v>99</v>
      </c>
      <c r="C383" s="88" t="s">
        <v>96</v>
      </c>
      <c r="D383" s="90" t="s">
        <v>4</v>
      </c>
      <c r="E383" s="98" t="s">
        <v>96</v>
      </c>
      <c r="G383" s="90">
        <v>8400</v>
      </c>
      <c r="H383" s="93">
        <v>41275</v>
      </c>
      <c r="I383" s="89">
        <v>260114.54</v>
      </c>
      <c r="J383" s="94">
        <f t="shared" si="5"/>
        <v>1</v>
      </c>
      <c r="K383" s="89">
        <f>ROUND($I383*(1+Preferred_Return_Rate)^tblPref[[#This Row],[Pref Period in Years]]-I383,2)</f>
        <v>10404.58</v>
      </c>
    </row>
    <row r="384" spans="1:11" x14ac:dyDescent="0.25">
      <c r="A384" s="88" t="s">
        <v>99</v>
      </c>
      <c r="C384" s="88" t="s">
        <v>96</v>
      </c>
      <c r="D384" s="90" t="s">
        <v>4</v>
      </c>
      <c r="E384" s="98" t="s">
        <v>96</v>
      </c>
      <c r="G384" s="90">
        <v>8400</v>
      </c>
      <c r="H384" s="93">
        <v>41316</v>
      </c>
      <c r="I384" s="89">
        <v>2078313.23</v>
      </c>
      <c r="J384" s="94">
        <f t="shared" si="5"/>
        <v>0.88767123287671235</v>
      </c>
      <c r="K384" s="89">
        <f>ROUND($I384*(1+Preferred_Return_Rate)^tblPref[[#This Row],[Pref Period in Years]]-I384,2)</f>
        <v>73630.98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Carry Terms</vt:lpstr>
      <vt:lpstr>AT Input Parameters</vt:lpstr>
      <vt:lpstr>Waterfall Model</vt:lpstr>
      <vt:lpstr>invTheoretical NAV</vt:lpstr>
      <vt:lpstr>invPref</vt:lpstr>
      <vt:lpstr>GP_Carry_Percent</vt:lpstr>
      <vt:lpstr>GP_Catch_Up_Percent</vt:lpstr>
      <vt:lpstr>GP_Catch_Up_Split</vt:lpstr>
      <vt:lpstr>Period_End_Date</vt:lpstr>
      <vt:lpstr>Preferred_Return_Rate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dbarrickman</dc:creator>
  <cp:lastModifiedBy>Yohannes, Mebea</cp:lastModifiedBy>
  <dcterms:created xsi:type="dcterms:W3CDTF">2007-09-12T21:45:42Z</dcterms:created>
  <dcterms:modified xsi:type="dcterms:W3CDTF">2017-02-22T04:09:05Z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alMaven.PresLink.LastVersion">
    <vt:lpwstr/>
  </property>
</Properties>
</file>